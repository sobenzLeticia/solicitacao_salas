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2" sheetId="1" state="visible" r:id="rId3"/>
    <sheet name="salas" sheetId="2" state="visible" r:id="rId4"/>
  </sheets>
  <definedNames>
    <definedName function="false" hidden="true" localSheetId="1" name="_xlnm._FilterDatabase" vbProcedure="false">salas!$A$1:$L$400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<sst xmlns="http://schemas.openxmlformats.org/spreadsheetml/2006/main" count="3715" uniqueCount="834">
  <si>
    <t xml:space="preserve">(vazio)</t>
  </si>
  <si>
    <t xml:space="preserve">CURSO</t>
  </si>
  <si>
    <t xml:space="preserve">CODIGO</t>
  </si>
  <si>
    <t xml:space="preserve">DISCIPLINA</t>
  </si>
  <si>
    <t xml:space="preserve">TURMA</t>
  </si>
  <si>
    <t xml:space="preserve">PROFESSOR</t>
  </si>
  <si>
    <t xml:space="preserve">SALA</t>
  </si>
  <si>
    <t xml:space="preserve">DIAS</t>
  </si>
  <si>
    <t xml:space="preserve">HORARIO INICIO</t>
  </si>
  <si>
    <t xml:space="preserve">HORARIO FINAL</t>
  </si>
  <si>
    <t xml:space="preserve">ALUNOS</t>
  </si>
  <si>
    <t xml:space="preserve">DIAS_PADRONIZADOS</t>
  </si>
  <si>
    <t xml:space="preserve">HORARIOS</t>
  </si>
  <si>
    <t xml:space="preserve">STATUS</t>
  </si>
  <si>
    <t xml:space="preserve">DATA INICIAL</t>
  </si>
  <si>
    <t xml:space="preserve">DATA FINAL</t>
  </si>
  <si>
    <t xml:space="preserve">AMBIENTAL</t>
  </si>
  <si>
    <t xml:space="preserve">TL0010</t>
  </si>
  <si>
    <t xml:space="preserve">ÁLGEBRA LINEAR PARA ENGENHARIA</t>
  </si>
  <si>
    <t xml:space="preserve">TURMA - 01</t>
  </si>
  <si>
    <t xml:space="preserve">NATÁLIA MARIA CORDEIRO BARROSO</t>
  </si>
  <si>
    <t xml:space="preserve">707-11</t>
  </si>
  <si>
    <t xml:space="preserve">SEGUNDA</t>
  </si>
  <si>
    <t xml:space="preserve">02,03,2026</t>
  </si>
  <si>
    <t xml:space="preserve">07,07,2026</t>
  </si>
  <si>
    <t xml:space="preserve">TK0294</t>
  </si>
  <si>
    <t xml:space="preserve">FUNDAMENTOS DE ADMINISTRAÇÃO E ECONOMIA</t>
  </si>
  <si>
    <t xml:space="preserve">TURMA - 01A</t>
  </si>
  <si>
    <t xml:space="preserve">MARCELO MIRANDA DE MELO</t>
  </si>
  <si>
    <t xml:space="preserve">SEGUNDA QUARTA</t>
  </si>
  <si>
    <t xml:space="preserve">TL0018</t>
  </si>
  <si>
    <t xml:space="preserve">CÁLCULO II</t>
  </si>
  <si>
    <t xml:space="preserve">TURMA - 04A</t>
  </si>
  <si>
    <t xml:space="preserve">JORGE CARVALHO BRANDÃO</t>
  </si>
  <si>
    <t xml:space="preserve">TERÇA QUINTA</t>
  </si>
  <si>
    <t xml:space="preserve">COMPUTAÇÃO</t>
  </si>
  <si>
    <t xml:space="preserve">CK0282</t>
  </si>
  <si>
    <t xml:space="preserve">PROGRAMAÇÃO ORIENTADA A OBJETOS</t>
  </si>
  <si>
    <t xml:space="preserve">FERNANDO ANTONIO MOTA TRINTA</t>
  </si>
  <si>
    <t xml:space="preserve">CB0706</t>
  </si>
  <si>
    <t xml:space="preserve">ÁLGEBRA LINEAR</t>
  </si>
  <si>
    <t xml:space="preserve">TURMA - 03A</t>
  </si>
  <si>
    <t xml:space="preserve">JOSE WALISSON VIEIRA DE SOUSA</t>
  </si>
  <si>
    <t xml:space="preserve">SEGUNDA SEXTA</t>
  </si>
  <si>
    <t xml:space="preserve">GABRIELLI HARUMI YAMASHITA</t>
  </si>
  <si>
    <t xml:space="preserve">TERÇA</t>
  </si>
  <si>
    <t xml:space="preserve">CD0382</t>
  </si>
  <si>
    <t xml:space="preserve">FUNDAMENTOS DE FÍSICA II</t>
  </si>
  <si>
    <t xml:space="preserve">TURMA - 06A</t>
  </si>
  <si>
    <t xml:space="preserve">TI0171</t>
  </si>
  <si>
    <t xml:space="preserve">CIRCUITOS ELETRÔNICOS</t>
  </si>
  <si>
    <t xml:space="preserve">GEORGE ANDRE PEREIRA THE</t>
  </si>
  <si>
    <t xml:space="preserve">ELÉTRICA</t>
  </si>
  <si>
    <t xml:space="preserve">TD0982</t>
  </si>
  <si>
    <t xml:space="preserve">SEGURANÇA E SAÚDE OCUPACIONAL</t>
  </si>
  <si>
    <t xml:space="preserve">RENATA MENDES LUNA</t>
  </si>
  <si>
    <t xml:space="preserve">QUARTA</t>
  </si>
  <si>
    <t xml:space="preserve">TURMA - 05A</t>
  </si>
  <si>
    <t xml:space="preserve">GIOVANNI CORDEIRO BARROSO</t>
  </si>
  <si>
    <t xml:space="preserve">AUREA SILVA DE HOLANDA</t>
  </si>
  <si>
    <t xml:space="preserve">TURMA - 02A</t>
  </si>
  <si>
    <t xml:space="preserve">CB0682</t>
  </si>
  <si>
    <t xml:space="preserve">VARIAVEL COMPLEXA</t>
  </si>
  <si>
    <t xml:space="preserve">JOSE ALBERTO DUARTE MAIA</t>
  </si>
  <si>
    <t xml:space="preserve">MARCOS FERREIRA DE MELO</t>
  </si>
  <si>
    <t xml:space="preserve">TURMA - 07A</t>
  </si>
  <si>
    <t xml:space="preserve">SEXTA</t>
  </si>
  <si>
    <t xml:space="preserve">DAVI MONTEIRO DANTAS</t>
  </si>
  <si>
    <t xml:space="preserve">ESDRAS SOARES DE MEDEIROS FILHO</t>
  </si>
  <si>
    <t xml:space="preserve">ENERGIAS RENOVÁVEIS</t>
  </si>
  <si>
    <t xml:space="preserve">CALCULO II</t>
  </si>
  <si>
    <t xml:space="preserve">ALEXANDRE DE MIRANDA MONT ALVERNE</t>
  </si>
  <si>
    <t xml:space="preserve">ALGEBRA LINEAR PARA ENGENHARIA</t>
  </si>
  <si>
    <t xml:space="preserve">TURMA - 02</t>
  </si>
  <si>
    <t xml:space="preserve">NATALIA MARIA CORDEIRO BARROSO</t>
  </si>
  <si>
    <t xml:space="preserve">MECÂNICA</t>
  </si>
  <si>
    <t xml:space="preserve">TURMA - </t>
  </si>
  <si>
    <t xml:space="preserve">METALÚRGICA</t>
  </si>
  <si>
    <t xml:space="preserve">TURMA -  06A</t>
  </si>
  <si>
    <t xml:space="preserve">A DEFINIR</t>
  </si>
  <si>
    <t xml:space="preserve">NÃO</t>
  </si>
  <si>
    <t xml:space="preserve">TURMA -  02A</t>
  </si>
  <si>
    <t xml:space="preserve">PETRÓLEO</t>
  </si>
  <si>
    <t xml:space="preserve">PRODUÇÃO</t>
  </si>
  <si>
    <t xml:space="preserve">ALGEBRA LINEAR</t>
  </si>
  <si>
    <t xml:space="preserve">TK0147</t>
  </si>
  <si>
    <t xml:space="preserve">ENGENHARIA ECONÔMICA</t>
  </si>
  <si>
    <t xml:space="preserve">MAXWEEL</t>
  </si>
  <si>
    <t xml:space="preserve">TK0233</t>
  </si>
  <si>
    <t xml:space="preserve">FINANÇAS EMPRESARIAIS</t>
  </si>
  <si>
    <t xml:space="preserve">QUÍMICA</t>
  </si>
  <si>
    <t xml:space="preserve">JORGE CARVALHO BRANDAO</t>
  </si>
  <si>
    <t xml:space="preserve">TELECOMUNICAÇÕES</t>
  </si>
  <si>
    <t xml:space="preserve">JOSE MARCOS SASAKI (64H)</t>
  </si>
  <si>
    <t xml:space="preserve">MARCELO MIRANDA DE MELO (32H)</t>
  </si>
  <si>
    <t xml:space="preserve">16:00</t>
  </si>
  <si>
    <t xml:space="preserve">18:00</t>
  </si>
  <si>
    <t xml:space="preserve">ESDRAS SOARES DE MEDEIROS FILHO (64H)</t>
  </si>
  <si>
    <t xml:space="preserve">14:00</t>
  </si>
  <si>
    <t xml:space="preserve">TD0922</t>
  </si>
  <si>
    <t xml:space="preserve">HIGIENE INDUSTRIAL E SEGURANÇA DO TRABALHO</t>
  </si>
  <si>
    <t xml:space="preserve">707-12</t>
  </si>
  <si>
    <t xml:space="preserve">CB0702</t>
  </si>
  <si>
    <t xml:space="preserve">ERNANI DE SOUSA RIBEIRO JUNIOR</t>
  </si>
  <si>
    <t xml:space="preserve">RENAN DA SILVA SANTOS</t>
  </si>
  <si>
    <t xml:space="preserve">CD0381</t>
  </si>
  <si>
    <t xml:space="preserve">FUNDAMENTOS DE FÍSICA I</t>
  </si>
  <si>
    <t xml:space="preserve">CK0270</t>
  </si>
  <si>
    <t xml:space="preserve">PROGRAMAÇÃO COMPUTACIONAL PARA ENGENHARIA</t>
  </si>
  <si>
    <t xml:space="preserve">TH0220</t>
  </si>
  <si>
    <t xml:space="preserve">ELETROTÉCNICA INDUSTRIAL</t>
  </si>
  <si>
    <t xml:space="preserve">RAPHAEL AMARAL DA CAMARA</t>
  </si>
  <si>
    <t xml:space="preserve">PABLO MAYCKON SILVA FARIAS</t>
  </si>
  <si>
    <t xml:space="preserve">TURMA -  04A</t>
  </si>
  <si>
    <t xml:space="preserve">CLEON DA SILVA BARROSO</t>
  </si>
  <si>
    <t xml:space="preserve">TK0248</t>
  </si>
  <si>
    <t xml:space="preserve">PROCESSOS DE PRODUÇÃO</t>
  </si>
  <si>
    <t xml:space="preserve">QUARTA SEXTA</t>
  </si>
  <si>
    <t xml:space="preserve">FREDERICO VALE GIRAO</t>
  </si>
  <si>
    <t xml:space="preserve">GREGORIO PACELLI FEITOSA BESSA </t>
  </si>
  <si>
    <t xml:space="preserve">ANA SHIRLEY FERREIRA DA SILVA (64H)</t>
  </si>
  <si>
    <t xml:space="preserve">TI0228</t>
  </si>
  <si>
    <t xml:space="preserve">GOVERNANÇA DE TIC I</t>
  </si>
  <si>
    <t xml:space="preserve">ALBERTO SAMPAIO LIMA (64H)</t>
  </si>
  <si>
    <t xml:space="preserve">TI0116</t>
  </si>
  <si>
    <t xml:space="preserve">SINAIS E SISTEMAS</t>
  </si>
  <si>
    <t xml:space="preserve">JOSE TARCISIO COSTA FILHO</t>
  </si>
  <si>
    <t xml:space="preserve">707-13</t>
  </si>
  <si>
    <t xml:space="preserve">TI0143</t>
  </si>
  <si>
    <t xml:space="preserve">TH0246</t>
  </si>
  <si>
    <t xml:space="preserve">CIRCUITOS ELÉTRICOS I</t>
  </si>
  <si>
    <t xml:space="preserve">WILKLEY BEZERRA CORREIA</t>
  </si>
  <si>
    <t xml:space="preserve">DALTON DE ARAUJO HONORIO</t>
  </si>
  <si>
    <t xml:space="preserve">TH0248</t>
  </si>
  <si>
    <t xml:space="preserve">MICROPROCESSADORES</t>
  </si>
  <si>
    <t xml:space="preserve">LUIZ HENRIQUE SILVA COLADO BARRETO</t>
  </si>
  <si>
    <t xml:space="preserve">ARTHUR PLINIO DE SOUZA BRAGA</t>
  </si>
  <si>
    <t xml:space="preserve">TE0146</t>
  </si>
  <si>
    <t xml:space="preserve">MECÂNICA DOS SOLIDOS</t>
  </si>
  <si>
    <t xml:space="preserve">MANOEL JOSE DA SILVA NETO</t>
  </si>
  <si>
    <t xml:space="preserve">TK0241</t>
  </si>
  <si>
    <t xml:space="preserve">CADEIAS DE SUPRIMENTOS LOCAIS</t>
  </si>
  <si>
    <t xml:space="preserve">HERÁCLITO JAGUARIBE</t>
  </si>
  <si>
    <t xml:space="preserve">TK0231</t>
  </si>
  <si>
    <t xml:space="preserve">SISTEMAS DE INFORMAÇÃO GERENCIAL</t>
  </si>
  <si>
    <t xml:space="preserve">TK0220</t>
  </si>
  <si>
    <t xml:space="preserve">GESTÃO DA QUALIDADE</t>
  </si>
  <si>
    <t xml:space="preserve">ALBERTIN</t>
  </si>
  <si>
    <t xml:space="preserve">TK0267</t>
  </si>
  <si>
    <t xml:space="preserve">PLANEJAMENTO E CONTROLE DA PRODUÇÃO II</t>
  </si>
  <si>
    <t xml:space="preserve">TI0194</t>
  </si>
  <si>
    <t xml:space="preserve">CIRCUITOS DIGITAIS</t>
  </si>
  <si>
    <t xml:space="preserve">JARBAS ARYEL NUNES DA SILVEIRA (32H)</t>
  </si>
  <si>
    <t xml:space="preserve">08:00</t>
  </si>
  <si>
    <t xml:space="preserve">10:00</t>
  </si>
  <si>
    <t xml:space="preserve">IGOR MOACO GUERREIRO (64H)</t>
  </si>
  <si>
    <t xml:space="preserve">12:00</t>
  </si>
  <si>
    <t xml:space="preserve">CK0203</t>
  </si>
  <si>
    <t xml:space="preserve">CONSTRUÇÃO E ANÁLISE DE ALGORITMOS</t>
  </si>
  <si>
    <t xml:space="preserve">ANA KAROLINNA MAIA DE OLIVEIRA</t>
  </si>
  <si>
    <t xml:space="preserve">707-14</t>
  </si>
  <si>
    <t xml:space="preserve">TK0134</t>
  </si>
  <si>
    <t xml:space="preserve">FUNDAMENTOS DA ADMINISTRAÇÃO</t>
  </si>
  <si>
    <t xml:space="preserve">GABRIELLI HARUMI</t>
  </si>
  <si>
    <t xml:space="preserve">CB0699</t>
  </si>
  <si>
    <t xml:space="preserve">ALGEBRA APLICADA I</t>
  </si>
  <si>
    <t xml:space="preserve">ANA SHIRLEY FERREIRA DA SILVA</t>
  </si>
  <si>
    <t xml:space="preserve">CD0383</t>
  </si>
  <si>
    <t xml:space="preserve">FUNDAMENTOS DE FÍSICA III</t>
  </si>
  <si>
    <t xml:space="preserve">CB0708</t>
  </si>
  <si>
    <t xml:space="preserve">EQUAÇÕES DIFERENCIAIS </t>
  </si>
  <si>
    <t xml:space="preserve">GLEYDSON CHAVES RICARTE</t>
  </si>
  <si>
    <t xml:space="preserve">FUNDAMENTOS DE ADMINISTRAÇÃO</t>
  </si>
  <si>
    <t xml:space="preserve">EQUAÇÕES DIFERENCIAIS</t>
  </si>
  <si>
    <t xml:space="preserve">CK0275</t>
  </si>
  <si>
    <t xml:space="preserve">CÁLCULO NUMÉRICO</t>
  </si>
  <si>
    <t xml:space="preserve">TK0266</t>
  </si>
  <si>
    <t xml:space="preserve">MÉTODOS E SISTEMAS DE TRABALHO</t>
  </si>
  <si>
    <t xml:space="preserve">BRENO BARROS</t>
  </si>
  <si>
    <t xml:space="preserve">TK0274</t>
  </si>
  <si>
    <t xml:space="preserve">PROJETO INTEGRADOR</t>
  </si>
  <si>
    <t xml:space="preserve">TK0276</t>
  </si>
  <si>
    <t xml:space="preserve">GESTÃO DE PESSOAS</t>
  </si>
  <si>
    <t xml:space="preserve">TL0011</t>
  </si>
  <si>
    <t xml:space="preserve">PROBABILIDADE E ESTATÍSTICA PARA ENGENHARIA</t>
  </si>
  <si>
    <t xml:space="preserve">"A DEFINIR"</t>
  </si>
  <si>
    <t xml:space="preserve">707-15</t>
  </si>
  <si>
    <t xml:space="preserve">PROBABILIDADE E ESTATÍSTICA</t>
  </si>
  <si>
    <t xml:space="preserve">TE0273</t>
  </si>
  <si>
    <t xml:space="preserve">DINAMICA DOS FLUIDOS I</t>
  </si>
  <si>
    <t xml:space="preserve">JUNTAR COM A MECANICA</t>
  </si>
  <si>
    <t xml:space="preserve">PROBABILIDADE E ESTATISTICA PARA ENGENHARIA</t>
  </si>
  <si>
    <t xml:space="preserve">DINÂMICA DOS FLUIDOS I</t>
  </si>
  <si>
    <t xml:space="preserve">FERNANDA LEITE LOBO</t>
  </si>
  <si>
    <t xml:space="preserve">TH0238</t>
  </si>
  <si>
    <t xml:space="preserve">ELETROMAGNETISMO APLICADO I</t>
  </si>
  <si>
    <t xml:space="preserve">DIEGO DE SOUSA MADEIRA</t>
  </si>
  <si>
    <t xml:space="preserve">707-21</t>
  </si>
  <si>
    <t xml:space="preserve">JOSE EUCLIDES GOMES DA SILVA</t>
  </si>
  <si>
    <t xml:space="preserve">TH0181</t>
  </si>
  <si>
    <t xml:space="preserve">	GERACAO, TRANSMISSAO E DIST. DE ENERGIA ELÉTRICA</t>
  </si>
  <si>
    <t xml:space="preserve">RUTH PASTORA SARAIVA LEAO</t>
  </si>
  <si>
    <t xml:space="preserve">RAIMUNDO FURTADO SAMPAIO</t>
  </si>
  <si>
    <t xml:space="preserve">TK0253</t>
  </si>
  <si>
    <t xml:space="preserve">PESQUISA OPERACIONAL II</t>
  </si>
  <si>
    <t xml:space="preserve">BRUNO PRATA</t>
  </si>
  <si>
    <t xml:space="preserve">TI0175</t>
  </si>
  <si>
    <t xml:space="preserve">INTELIGÊNCIA COMPUTACIONAL APLICADA</t>
  </si>
  <si>
    <t xml:space="preserve">MICHELA MULAS</t>
  </si>
  <si>
    <t xml:space="preserve">707-22</t>
  </si>
  <si>
    <t xml:space="preserve">CK0187</t>
  </si>
  <si>
    <t xml:space="preserve">AUTÔMATOS E TEORIA DA COMPUTAÇÃO</t>
  </si>
  <si>
    <t xml:space="preserve">FRANCICLEBER MARTINS FERREIRA E JOAO FERNANDO LIMA ALCANTARA</t>
  </si>
  <si>
    <t xml:space="preserve">SEGUNDA QUARTA SEXTA</t>
  </si>
  <si>
    <t xml:space="preserve">TE0160</t>
  </si>
  <si>
    <t xml:space="preserve">INSTRUMENTAÇÃO</t>
  </si>
  <si>
    <t xml:space="preserve">ROMULO DO NASCIMENTO RODRIGUES</t>
  </si>
  <si>
    <t xml:space="preserve">TE0274</t>
  </si>
  <si>
    <t xml:space="preserve">DINÂMICA DOS SISTEMAS MECÂNICOS</t>
  </si>
  <si>
    <t xml:space="preserve">ROMULO NASCIMENTO</t>
  </si>
  <si>
    <t xml:space="preserve">ROBERTO DE ARAUJO BEZERRA</t>
  </si>
  <si>
    <t xml:space="preserve">CIVIL</t>
  </si>
  <si>
    <t xml:space="preserve">TB0803</t>
  </si>
  <si>
    <t xml:space="preserve">PONTES I</t>
  </si>
  <si>
    <t xml:space="preserve">JOAQUIM MOTA</t>
  </si>
  <si>
    <t xml:space="preserve">707-23</t>
  </si>
  <si>
    <t xml:space="preserve">TC0598</t>
  </si>
  <si>
    <t xml:space="preserve">OPERAÇÃO DE SISTEMAS DE TRANSPORTES</t>
  </si>
  <si>
    <t xml:space="preserve">TURMA - 03</t>
  </si>
  <si>
    <t xml:space="preserve">MARIO ANGELO</t>
  </si>
  <si>
    <t xml:space="preserve">CC0265</t>
  </si>
  <si>
    <t xml:space="preserve">JOAO WELLIANDRE CARNEIRO ALEXANDRE</t>
  </si>
  <si>
    <t xml:space="preserve">JOSE LASSANCE DE CASTRO SILVA</t>
  </si>
  <si>
    <t xml:space="preserve">TF0312</t>
  </si>
  <si>
    <t xml:space="preserve">ELEMENTOS DE FENOMENOS DE TRANSPORTE</t>
  </si>
  <si>
    <t xml:space="preserve">ANDREA DA SILVA PEREIRA</t>
  </si>
  <si>
    <t xml:space="preserve">TF0329</t>
  </si>
  <si>
    <t xml:space="preserve">CÁLCULOS DE REATORES II </t>
  </si>
  <si>
    <t xml:space="preserve">MOISES BASTOS NETO</t>
  </si>
  <si>
    <t xml:space="preserve">TB0792</t>
  </si>
  <si>
    <t xml:space="preserve">MECÂNICA E RESISTÊNCIA DOS MATERIAIS</t>
  </si>
  <si>
    <t xml:space="preserve">TURMA - 06</t>
  </si>
  <si>
    <t xml:space="preserve">707-24</t>
  </si>
  <si>
    <t xml:space="preserve">TB0801</t>
  </si>
  <si>
    <t xml:space="preserve">ESTRUTURAS DE CONCRETO II</t>
  </si>
  <si>
    <t xml:space="preserve">JOÃO BATISTA</t>
  </si>
  <si>
    <t xml:space="preserve">MECANICA E RESISTENCIA DOS MATERIAIS</t>
  </si>
  <si>
    <t xml:space="preserve">TURMA - 05</t>
  </si>
  <si>
    <t xml:space="preserve">TE0135</t>
  </si>
  <si>
    <t xml:space="preserve">CIENCIA DOS MATERIAIS</t>
  </si>
  <si>
    <t xml:space="preserve">ELINEUDO PINHO DE MOURA</t>
  </si>
  <si>
    <t xml:space="preserve">TE0312</t>
  </si>
  <si>
    <t xml:space="preserve">DINAMICA DAS MAQUINAS PARA ENERGIAS RENOVÁVEIS</t>
  </si>
  <si>
    <t xml:space="preserve">FRANCISCO ILSON DA SILVA JUNIOR</t>
  </si>
  <si>
    <t xml:space="preserve">MECÂNICA E RESISTENCIA DOS MATERIAIS</t>
  </si>
  <si>
    <t xml:space="preserve">TURMA - 04</t>
  </si>
  <si>
    <t xml:space="preserve">CARLOS DAVID RODRIGUES MELO</t>
  </si>
  <si>
    <t xml:space="preserve">QUINTA</t>
  </si>
  <si>
    <t xml:space="preserve">TF0005</t>
  </si>
  <si>
    <t xml:space="preserve">TERMODINÂMICA DE PROCESSOS</t>
  </si>
  <si>
    <t xml:space="preserve">FRANCISCO MAURO TEIXEIRA PEREIRA FILHO E FILIPE XAVIER FEITOSA</t>
  </si>
  <si>
    <t xml:space="preserve">HOSIBERTO BATISTA DE SANTANA</t>
  </si>
  <si>
    <t xml:space="preserve">TF0009</t>
  </si>
  <si>
    <t xml:space="preserve">SISTEMAS PARTICULADOS</t>
  </si>
  <si>
    <t xml:space="preserve">RODRIGO SILVEIRA VIEIRA</t>
  </si>
  <si>
    <t xml:space="preserve">FRANCISCO MAURO TEIXEIRA PEREIRA FILHO</t>
  </si>
  <si>
    <t xml:space="preserve">CK0181</t>
  </si>
  <si>
    <t xml:space="preserve">FUNDAMENTOS MATEMÁTICOS DA COMPUTAÇÃO</t>
  </si>
  <si>
    <t xml:space="preserve">707-25</t>
  </si>
  <si>
    <t xml:space="preserve">TK0234</t>
  </si>
  <si>
    <t xml:space="preserve">ERGONOMIA</t>
  </si>
  <si>
    <t xml:space="preserve">ROGÉRIO</t>
  </si>
  <si>
    <t xml:space="preserve">CB0705</t>
  </si>
  <si>
    <t xml:space="preserve">CÁLCULO FUNDAMENTAL II</t>
  </si>
  <si>
    <t xml:space="preserve">707-31</t>
  </si>
  <si>
    <t xml:space="preserve">TURMA -  01A</t>
  </si>
  <si>
    <t xml:space="preserve">CD0335</t>
  </si>
  <si>
    <t xml:space="preserve">FISICA ONDULATORIA E DE PARTICULAS</t>
  </si>
  <si>
    <t xml:space="preserve">SIM</t>
  </si>
  <si>
    <t xml:space="preserve">TK0275</t>
  </si>
  <si>
    <t xml:space="preserve">PROJETO DE GRADUAÇÃO</t>
  </si>
  <si>
    <t xml:space="preserve">CALCULO FUNDAMENTAL II</t>
  </si>
  <si>
    <t xml:space="preserve">FÍSICA ONDULATORIA E DE PARTICULAS </t>
  </si>
  <si>
    <t xml:space="preserve">TF0004</t>
  </si>
  <si>
    <t xml:space="preserve"> ANÁLISE NUMÉRICA PARA ENGENHARIA QUÍMICA</t>
  </si>
  <si>
    <t xml:space="preserve">VITOR MOREIRA DA ROCHA PONTE</t>
  </si>
  <si>
    <t xml:space="preserve">TF0011</t>
  </si>
  <si>
    <t xml:space="preserve">ENGENHARIA DAS REAÇÕES QUÍMICAS I</t>
  </si>
  <si>
    <t xml:space="preserve">MARIA VALDEREZ PONTE ROCHA</t>
  </si>
  <si>
    <t xml:space="preserve">ANDRE CASIMIRO DE MACEDO</t>
  </si>
  <si>
    <t xml:space="preserve">TI0196</t>
  </si>
  <si>
    <t xml:space="preserve">TARCISIO FERREIRA MACIEL (64H)</t>
  </si>
  <si>
    <t xml:space="preserve">TI0145</t>
  </si>
  <si>
    <t xml:space="preserve">REDES DE COMPUTADORES I</t>
  </si>
  <si>
    <t xml:space="preserve">MARCOS FERREIRA DE MELO (64H)</t>
  </si>
  <si>
    <t xml:space="preserve">TD0040</t>
  </si>
  <si>
    <t xml:space="preserve">GESTÃO DE RESÍDUOS SÓLIDOS</t>
  </si>
  <si>
    <t xml:space="preserve">RONALDO STEFANUTTI</t>
  </si>
  <si>
    <t xml:space="preserve">707-32</t>
  </si>
  <si>
    <t xml:space="preserve">TD0980</t>
  </si>
  <si>
    <t xml:space="preserve">EMGENHARIA AMBIENTAL</t>
  </si>
  <si>
    <t xml:space="preserve">?</t>
  </si>
  <si>
    <t xml:space="preserve">ENGENHARIA AMBIENTAL</t>
  </si>
  <si>
    <t xml:space="preserve">ANTONIO IDIVAN VIEIRA NUNES</t>
  </si>
  <si>
    <t xml:space="preserve">TE0313</t>
  </si>
  <si>
    <t xml:space="preserve">ENERGIA SOLAR TERMICA</t>
  </si>
  <si>
    <t xml:space="preserve">ANA FABIOLA LEITE ALMEIDA</t>
  </si>
  <si>
    <t xml:space="preserve">ANA FABÍOLA LEITE ALMEIDA</t>
  </si>
  <si>
    <t xml:space="preserve">TK0279</t>
  </si>
  <si>
    <t xml:space="preserve">ANÁLISE DE EFICIÊNCIA E PRODUTIVIDADE</t>
  </si>
  <si>
    <t xml:space="preserve">TK0268</t>
  </si>
  <si>
    <t xml:space="preserve">SIMULAÇÃO DE SISTEMAS PRODUTIVOS</t>
  </si>
  <si>
    <t xml:space="preserve">ANSELMO</t>
  </si>
  <si>
    <t xml:space="preserve">TF0328</t>
  </si>
  <si>
    <t xml:space="preserve">PROCESSOS E REATORES BIOQUÍMICOS</t>
  </si>
  <si>
    <t xml:space="preserve">LUCIANA ROCHA BARROS GONCALVES</t>
  </si>
  <si>
    <t xml:space="preserve">CF0001</t>
  </si>
  <si>
    <t xml:space="preserve">QUÍMICA ANALÍTICA</t>
  </si>
  <si>
    <t xml:space="preserve">JHONYSON ARRUDA CARVALHO GUEDES</t>
  </si>
  <si>
    <t xml:space="preserve">ANDRE HENRIQUE BARBOSA DE OLIVEIRA</t>
  </si>
  <si>
    <t xml:space="preserve">TF0022</t>
  </si>
  <si>
    <t xml:space="preserve">SEGURANÇA DE PROCESSOS INDUSTRIAIS</t>
  </si>
  <si>
    <t xml:space="preserve">FRANCISCO MAURO TEIXEIRA PEREIRA FILHO E HOSIBERTO BATISTA DE SANTANA</t>
  </si>
  <si>
    <t xml:space="preserve">CE0894</t>
  </si>
  <si>
    <t xml:space="preserve">QUÍMICA INORGÂNICA PARA ENGENHARIA</t>
  </si>
  <si>
    <t xml:space="preserve">TD0944</t>
  </si>
  <si>
    <t xml:space="preserve">OBRAS DE CONTENÇÃO</t>
  </si>
  <si>
    <t xml:space="preserve">SIVRANO</t>
  </si>
  <si>
    <t xml:space="preserve">707-33</t>
  </si>
  <si>
    <t xml:space="preserve">TI0073</t>
  </si>
  <si>
    <t xml:space="preserve">TV DIGITAL</t>
  </si>
  <si>
    <t xml:space="preserve">CHARLES CASIMIRO CAVALCANTE (64H)</t>
  </si>
  <si>
    <t xml:space="preserve">TI0121</t>
  </si>
  <si>
    <t xml:space="preserve">GESTÃO DA INOVAÇÃO TECNÓLOGICA</t>
  </si>
  <si>
    <t xml:space="preserve">FRANCISCO RODRIGO PORTO CAVALCANTI (64H)</t>
  </si>
  <si>
    <t xml:space="preserve">707-35</t>
  </si>
  <si>
    <t xml:space="preserve">TH0215</t>
  </si>
  <si>
    <t xml:space="preserve">PRINCÍPIOS DE ELETRICIDADE E MAGNETISMO</t>
  </si>
  <si>
    <t xml:space="preserve">SERGIO DAHER</t>
  </si>
  <si>
    <t xml:space="preserve">707-37</t>
  </si>
  <si>
    <t xml:space="preserve">TB0026</t>
  </si>
  <si>
    <t xml:space="preserve">MATERIAIS DE CONSTRUÇÃO E SISTEMAS CONSTRUTIVOS</t>
  </si>
  <si>
    <t xml:space="preserve">TL0021</t>
  </si>
  <si>
    <t xml:space="preserve">FÍSICA PARA ENGENHARIA I</t>
  </si>
  <si>
    <t xml:space="preserve">TALITA FELIPE DE VASCONCELOS</t>
  </si>
  <si>
    <t xml:space="preserve">FÍSICA APLICADA PARA ENGENHARIA I</t>
  </si>
  <si>
    <t xml:space="preserve">TALITA FELIPE</t>
  </si>
  <si>
    <t xml:space="preserve">PRINCIPIOS DE ELETRICIIDADE E MAGNETISMO</t>
  </si>
  <si>
    <t xml:space="preserve">DOMENICO SGRO</t>
  </si>
  <si>
    <t xml:space="preserve">LUIS GONZAGA RODRIGUES JUNIOR</t>
  </si>
  <si>
    <t xml:space="preserve">PRINCIPIOS DE ELETRICIDADE E MAGNETISMO</t>
  </si>
  <si>
    <t xml:space="preserve">TE0280</t>
  </si>
  <si>
    <t xml:space="preserve">PROCESSOS DE FABRICAÇÃO POR FUNDIÇÃO E SOLDAGEM</t>
  </si>
  <si>
    <t xml:space="preserve">TK0235</t>
  </si>
  <si>
    <t xml:space="preserve">ENGENHARIA DO PRODUTO</t>
  </si>
  <si>
    <t xml:space="preserve">ALYSSON</t>
  </si>
  <si>
    <t xml:space="preserve">TF0332</t>
  </si>
  <si>
    <t xml:space="preserve">DINÂMICA E CONTROLE DE PROCESSOS </t>
  </si>
  <si>
    <t xml:space="preserve">FRANCISCO MURILO TAVARES DE LUNA</t>
  </si>
  <si>
    <t xml:space="preserve">TF0331</t>
  </si>
  <si>
    <t xml:space="preserve">MODELAGEM E SIMULACAO DE PROCESSOS QUÍMICOS</t>
  </si>
  <si>
    <t xml:space="preserve">SAMUEL JORGE MARQUES CARTAXO</t>
  </si>
  <si>
    <t xml:space="preserve">TI0069</t>
  </si>
  <si>
    <t xml:space="preserve">SISTEMAS DE COMUNICAÇÕES DIGITAIS</t>
  </si>
  <si>
    <t xml:space="preserve">VICTOR FARIAS MONTEIRO (64H)</t>
  </si>
  <si>
    <t xml:space="preserve">707-41</t>
  </si>
  <si>
    <t xml:space="preserve">TL0009</t>
  </si>
  <si>
    <t xml:space="preserve">MÉTODOS NUMÉRICOS PARA ENGENHARIA</t>
  </si>
  <si>
    <t xml:space="preserve">GISELE AZEVEDO DE ARAÚJO FREITAS</t>
  </si>
  <si>
    <t xml:space="preserve">707-42</t>
  </si>
  <si>
    <t xml:space="preserve">TH0257</t>
  </si>
  <si>
    <t xml:space="preserve">ELETRÔNICA DE POTENCIA</t>
  </si>
  <si>
    <t xml:space="preserve">RENE PASTOR TORRICO BASCOPE</t>
  </si>
  <si>
    <t xml:space="preserve">DEMERCIL DE SOUZA OLIVEIRA JUNIOR</t>
  </si>
  <si>
    <t xml:space="preserve">METODOS NUMERICOS PARA ENGENHARIA</t>
  </si>
  <si>
    <t xml:space="preserve">GISELE AZEVEDO ARAUJO</t>
  </si>
  <si>
    <t xml:space="preserve">TE0169</t>
  </si>
  <si>
    <t xml:space="preserve">MANUTENÇÃO DE EQUIPAMENTOS INDUSTRIAIS</t>
  </si>
  <si>
    <t xml:space="preserve">- MANUTENÇÃO DE EQUIPAMENTOS INDUSTRIAIS</t>
  </si>
  <si>
    <t xml:space="preserve">TF0377</t>
  </si>
  <si>
    <t xml:space="preserve">BIOCOMBUSTÍVEIS</t>
  </si>
  <si>
    <t xml:space="preserve">MÉTODOS NUMÉRICOS PARA ENGENHARIA </t>
  </si>
  <si>
    <t xml:space="preserve">GISELE AZEVEDO DE ARAUJO FREITAS</t>
  </si>
  <si>
    <t xml:space="preserve">TE0228</t>
  </si>
  <si>
    <t xml:space="preserve">MECANISMOS HIDRÁULICOS E PNEUMATICOS</t>
  </si>
  <si>
    <t xml:space="preserve">TI0111</t>
  </si>
  <si>
    <t xml:space="preserve">ESTATÍSTICA PARA ENGENHARIA</t>
  </si>
  <si>
    <t xml:space="preserve">707-44</t>
  </si>
  <si>
    <t xml:space="preserve">TI0170</t>
  </si>
  <si>
    <t xml:space="preserve">TURMA - 01A, 01B</t>
  </si>
  <si>
    <t xml:space="preserve">NICOLAS DE ARAUJO MOREIRA</t>
  </si>
  <si>
    <t xml:space="preserve">TE1003</t>
  </si>
  <si>
    <t xml:space="preserve">TERMODINAMICA APLICADA AS EEMA</t>
  </si>
  <si>
    <t xml:space="preserve">WILLIAM MAGALHAES BARCELLOS</t>
  </si>
  <si>
    <t xml:space="preserve">TE0402</t>
  </si>
  <si>
    <t xml:space="preserve">TERMODINAMICA APLICADA</t>
  </si>
  <si>
    <t xml:space="preserve">TERMODINÂMICA APLICADA AS EEMA </t>
  </si>
  <si>
    <t xml:space="preserve">TI0115</t>
  </si>
  <si>
    <t xml:space="preserve">ELETROMAGNETISMO APLICADO</t>
  </si>
  <si>
    <t xml:space="preserve">SERGIO ANTENOR DE CARVALHO (64H)</t>
  </si>
  <si>
    <t xml:space="preserve">TE0252</t>
  </si>
  <si>
    <t xml:space="preserve">FUNDAMENTOS DE MECÂNICA DOS SOLIDOS</t>
  </si>
  <si>
    <t xml:space="preserve">707-45</t>
  </si>
  <si>
    <t xml:space="preserve">TE0801</t>
  </si>
  <si>
    <t xml:space="preserve">PROJETO INTEGRADOR II</t>
  </si>
  <si>
    <t xml:space="preserve">FRANCISCO NIVALDO AGUIAR FREIRE</t>
  </si>
  <si>
    <t xml:space="preserve">- FUNDAMENTOS DE MECÂNICA DOS SOLIDOS</t>
  </si>
  <si>
    <t xml:space="preserve">TF0326</t>
  </si>
  <si>
    <t xml:space="preserve">PROCESSOS QUÍMICOS INDUSTRIAIS</t>
  </si>
  <si>
    <t xml:space="preserve">JOAO JOSE HILUY FILHO</t>
  </si>
  <si>
    <t xml:space="preserve">TF0340</t>
  </si>
  <si>
    <t xml:space="preserve">UTILIDADES INDUSTRIAIS </t>
  </si>
  <si>
    <t xml:space="preserve">CH0857</t>
  </si>
  <si>
    <t xml:space="preserve"> MICROBIOLOGIA BÁSICA </t>
  </si>
  <si>
    <t xml:space="preserve">CLAUDIA MIRANDA MARTINS</t>
  </si>
  <si>
    <t xml:space="preserve">TF0010</t>
  </si>
  <si>
    <t xml:space="preserve">PROCESSOS DE TRANSFERÊNCIA DE CALOR I </t>
  </si>
  <si>
    <t xml:space="preserve">MANOEL JOSE DA SILVA NETO (32H)</t>
  </si>
  <si>
    <t xml:space="preserve">TI0176</t>
  </si>
  <si>
    <t xml:space="preserve">INTRODUÇÃO AO PROCESSAMENTO DIGITAL DE IMAGENS</t>
  </si>
  <si>
    <t xml:space="preserve">PAULO CESAR CORTEZ</t>
  </si>
  <si>
    <t xml:space="preserve">707-46</t>
  </si>
  <si>
    <t xml:space="preserve">TI0091</t>
  </si>
  <si>
    <t xml:space="preserve">INTRODUÇÃO A ROBÓTICA</t>
  </si>
  <si>
    <t xml:space="preserve">TH0191</t>
  </si>
  <si>
    <t xml:space="preserve">PROTECAO DE SISTEMAS ELÉTRICOS DE POTENCIA</t>
  </si>
  <si>
    <t xml:space="preserve">TE0164</t>
  </si>
  <si>
    <t xml:space="preserve">ELEMENTOS DE MÁQUINAS I</t>
  </si>
  <si>
    <t xml:space="preserve">TD0943</t>
  </si>
  <si>
    <t xml:space="preserve">FENOMENOS DE TRANSPORTE</t>
  </si>
  <si>
    <t xml:space="preserve">CLEITON DA SILVA SILVEIRA E SAMIRIA MARIA OLIVEIRA DA SILVA</t>
  </si>
  <si>
    <t xml:space="preserve">707-47</t>
  </si>
  <si>
    <t xml:space="preserve">TE0427</t>
  </si>
  <si>
    <t xml:space="preserve">CIRCUITOS ELEYTRICOS PARA ENERGIAS RENOVAVEIS</t>
  </si>
  <si>
    <t xml:space="preserve">AMANDA PEREIRA MONTEIRO</t>
  </si>
  <si>
    <t xml:space="preserve">TF0320</t>
  </si>
  <si>
    <t xml:space="preserve">FENOMENOS DE TRANSPORTE I</t>
  </si>
  <si>
    <t xml:space="preserve">TE0302</t>
  </si>
  <si>
    <t xml:space="preserve">MECANICA DOS SOLIDOS EM ENGENHARIA DE ENERGIAS RENOVAVEIS</t>
  </si>
  <si>
    <t xml:space="preserve">MECANICA DOS SOLIDOS EM ENGENHARIA DE ENERGIAS RENOVÁVEIS</t>
  </si>
  <si>
    <t xml:space="preserve">TE0170</t>
  </si>
  <si>
    <t xml:space="preserve">- PROCESSOS TRADICIONAIS DE USINAGEM</t>
  </si>
  <si>
    <t xml:space="preserve">CLEITON DA SILVA SILVEIRA (64H)</t>
  </si>
  <si>
    <t xml:space="preserve">TI0177</t>
  </si>
  <si>
    <t xml:space="preserve">ACIONAMENTO E CONTROLE HIDRÁULICO E PNEUMÁTICO</t>
  </si>
  <si>
    <t xml:space="preserve">707-51</t>
  </si>
  <si>
    <t xml:space="preserve">TH0255</t>
  </si>
  <si>
    <t xml:space="preserve">CONTROLE DE SISTEMAS DINÂMICOS</t>
  </si>
  <si>
    <t xml:space="preserve">FABRICIO GONZALEZ NOGUEIRA</t>
  </si>
  <si>
    <t xml:space="preserve">TE0263</t>
  </si>
  <si>
    <t xml:space="preserve">LABORATORIO DE ENERGIAS RENOVÁVEIS</t>
  </si>
  <si>
    <t xml:space="preserve">TE0308</t>
  </si>
  <si>
    <t xml:space="preserve">TOPICOS ESPECIAIS EM SISTEMAS DE ENERGIAS RENOVÁVEIS II</t>
  </si>
  <si>
    <t xml:space="preserve">TF0367</t>
  </si>
  <si>
    <t xml:space="preserve">QUÍMICA DO PETRÓLEO </t>
  </si>
  <si>
    <t xml:space="preserve">PEDRO FELIPE GADELHA SILVINO</t>
  </si>
  <si>
    <t xml:space="preserve">TF0366</t>
  </si>
  <si>
    <t xml:space="preserve">LOGÍSTICA DO PETROLEO </t>
  </si>
  <si>
    <t xml:space="preserve">TI0201</t>
  </si>
  <si>
    <t xml:space="preserve">PROCESSOS ESTOCÁSTICOS I</t>
  </si>
  <si>
    <t xml:space="preserve">CHARLES CASIMIRO CAVALCANTE (32H)</t>
  </si>
  <si>
    <t xml:space="preserve">TI0203</t>
  </si>
  <si>
    <t xml:space="preserve">FAZAL E ASIM (64H)</t>
  </si>
  <si>
    <t xml:space="preserve">TD0019</t>
  </si>
  <si>
    <t xml:space="preserve">MECÂNICA DOS SOLOS II</t>
  </si>
  <si>
    <t xml:space="preserve">SILVRANO</t>
  </si>
  <si>
    <t xml:space="preserve">707-52</t>
  </si>
  <si>
    <t xml:space="preserve">TH0276</t>
  </si>
  <si>
    <t xml:space="preserve">TÓPICOS ESPECIAIS EM ENGENHARIA ELÉTRICA II (REDES DE PETRI)</t>
  </si>
  <si>
    <t xml:space="preserve">TF0379</t>
  </si>
  <si>
    <t xml:space="preserve">FLUIDOS DE PERFURAÇÃO E COMPLETAÇÃO DE POÇOS</t>
  </si>
  <si>
    <t xml:space="preserve">DB0121</t>
  </si>
  <si>
    <t xml:space="preserve">DIREITO DO PETROLEO</t>
  </si>
  <si>
    <t xml:space="preserve">MACHIDOVEL TRIGUEIRO FILHO</t>
  </si>
  <si>
    <t xml:space="preserve">TI0113</t>
  </si>
  <si>
    <t xml:space="preserve">ELETROMAGNETISMO BÁSICO</t>
  </si>
  <si>
    <t xml:space="preserve">HILMA HELENA MACEDO DE VASCONCELOS (64H)</t>
  </si>
  <si>
    <t xml:space="preserve">TI0131</t>
  </si>
  <si>
    <t xml:space="preserve">REDES DE COMUNICAÇÕES</t>
  </si>
  <si>
    <t xml:space="preserve">TI0164</t>
  </si>
  <si>
    <t xml:space="preserve">EMPREENDEDORISMO E INOVAÇÃO</t>
  </si>
  <si>
    <t xml:space="preserve">FLAVIO RUBENS DE CARVALHO SOUSA</t>
  </si>
  <si>
    <t xml:space="preserve">707-55</t>
  </si>
  <si>
    <t xml:space="preserve">TF0365</t>
  </si>
  <si>
    <t xml:space="preserve">COMPORTAMENTO DE FASES DE SISTEMAS DE HIDROCARBONETOS </t>
  </si>
  <si>
    <t xml:space="preserve">RILVIA SARAIVA DE SANTIAGO AGUIAR</t>
  </si>
  <si>
    <t xml:space="preserve">TI0162</t>
  </si>
  <si>
    <t xml:space="preserve">INTERNET DAS COISAS</t>
  </si>
  <si>
    <t xml:space="preserve">ATSLANDS REGO DA ROCHA (64H)</t>
  </si>
  <si>
    <t xml:space="preserve">TI0065</t>
  </si>
  <si>
    <t xml:space="preserve">ANTENAS</t>
  </si>
  <si>
    <t xml:space="preserve">SERGIO ANTENOR DE CARVALHO (96H)</t>
  </si>
  <si>
    <t xml:space="preserve">TI0227</t>
  </si>
  <si>
    <t xml:space="preserve">MODELAGEM TENSORIAL</t>
  </si>
  <si>
    <t xml:space="preserve">ANDRE LIMA FERRER DE ALMEIDA (64H)</t>
  </si>
  <si>
    <t xml:space="preserve">CK0188</t>
  </si>
  <si>
    <t xml:space="preserve">FUNDAMENTOS DE BANCO DE DADOS</t>
  </si>
  <si>
    <t xml:space="preserve">JOSE MARIA DA SILVA MONTEIRO FILHO</t>
  </si>
  <si>
    <t xml:space="preserve">707-57</t>
  </si>
  <si>
    <t xml:space="preserve">TI0120</t>
  </si>
  <si>
    <t xml:space="preserve">	PRINCÍPIOS DE COMUNICAÇÕES</t>
  </si>
  <si>
    <t xml:space="preserve">ELVIO CESAR GIRAUDO</t>
  </si>
  <si>
    <t xml:space="preserve">TH0177</t>
  </si>
  <si>
    <t xml:space="preserve">CONVERSÃO ELETROMECÂNICA DE ENERGIA</t>
  </si>
  <si>
    <t xml:space="preserve">TH0233</t>
  </si>
  <si>
    <t xml:space="preserve">MERCADO DE ELETRICIDADE</t>
  </si>
  <si>
    <t xml:space="preserve">TF0330</t>
  </si>
  <si>
    <t xml:space="preserve">OPERAÇÕES UNITÁRIAS III</t>
  </si>
  <si>
    <t xml:space="preserve">IVANILDO JOSE DA SILVA JUNIOR </t>
  </si>
  <si>
    <t xml:space="preserve">TL0015</t>
  </si>
  <si>
    <t xml:space="preserve">FUNDAMENTOS E EXPRESSÃO GRÁFICA DE PROJETOS</t>
  </si>
  <si>
    <t xml:space="preserve">TURMA - 10A</t>
  </si>
  <si>
    <t xml:space="preserve">717-11</t>
  </si>
  <si>
    <t xml:space="preserve">TURMA - 07A </t>
  </si>
  <si>
    <t xml:space="preserve">GIANCARLO BEZERRA DO NASCIMENTO COSTA</t>
  </si>
  <si>
    <t xml:space="preserve">SÁBADO</t>
  </si>
  <si>
    <t xml:space="preserve">FUNDAMENTOS E EXPRESSÃO GRAFICA DE PROJETOS</t>
  </si>
  <si>
    <t xml:space="preserve">CELY MARTINS SANTOS DE ALENCAR</t>
  </si>
  <si>
    <t xml:space="preserve">ANTONIO APULO DE HOLLANDA CAVALCANTE</t>
  </si>
  <si>
    <t xml:space="preserve">TE0206</t>
  </si>
  <si>
    <t xml:space="preserve">MONITORACAO E DIAGNOSTICO DE MÁQUINAS</t>
  </si>
  <si>
    <t xml:space="preserve">TH0200</t>
  </si>
  <si>
    <t xml:space="preserve">JOSE ALMEIDA DO NASCIMENTO</t>
  </si>
  <si>
    <t xml:space="preserve">717-12</t>
  </si>
  <si>
    <t xml:space="preserve">TD0933</t>
  </si>
  <si>
    <t xml:space="preserve">DRENAGEM URBANA</t>
  </si>
  <si>
    <t xml:space="preserve">FRANCISCO OSNY ENEAS DA SILVA E TICIANA MARINHO DE CARVALHO STUDART</t>
  </si>
  <si>
    <t xml:space="preserve">726-11</t>
  </si>
  <si>
    <t xml:space="preserve">TD0937</t>
  </si>
  <si>
    <t xml:space="preserve">HIDRÁULICA FLUVIAL</t>
  </si>
  <si>
    <t xml:space="preserve">FCO. OSNY</t>
  </si>
  <si>
    <t xml:space="preserve">TD0950</t>
  </si>
  <si>
    <t xml:space="preserve">INTRODUÇÃO A ENG AMBIENTAL</t>
  </si>
  <si>
    <t xml:space="preserve">TE0330</t>
  </si>
  <si>
    <t xml:space="preserve">- BIOMASSA PARA ENERGIA E BIOCOMBUSTÍVEIS</t>
  </si>
  <si>
    <t xml:space="preserve">MARIA ALEXANDRA</t>
  </si>
  <si>
    <t xml:space="preserve">INTRODUÇÃO A ENGENHARIA AMBIENTAL </t>
  </si>
  <si>
    <t xml:space="preserve">TE0232</t>
  </si>
  <si>
    <t xml:space="preserve">SISTEMAS TERMICOS</t>
  </si>
  <si>
    <t xml:space="preserve">TB0811</t>
  </si>
  <si>
    <t xml:space="preserve">ESTRUTURAS DE CONCRETO PRÉ-MOLDADO</t>
  </si>
  <si>
    <t xml:space="preserve">TURMA - 01A </t>
  </si>
  <si>
    <t xml:space="preserve">726-12</t>
  </si>
  <si>
    <t xml:space="preserve">TB0860</t>
  </si>
  <si>
    <t xml:space="preserve">INTRODUÇÃO A ENGENHARIA SÍSMICA</t>
  </si>
  <si>
    <t xml:space="preserve">TE0168</t>
  </si>
  <si>
    <t xml:space="preserve">- COMPORTAMENTO MECÂNICO DOS MATERIAIS</t>
  </si>
  <si>
    <t xml:space="preserve">CARLOS ANDRE DIAS BEZERRA</t>
  </si>
  <si>
    <t xml:space="preserve">TE0331</t>
  </si>
  <si>
    <t xml:space="preserve">- CONVERSÃO DE ENERGIA DAS ONDAS DOS OCEANOS</t>
  </si>
  <si>
    <t xml:space="preserve">CARLOS ANDRÉ</t>
  </si>
  <si>
    <t xml:space="preserve">TK0152</t>
  </si>
  <si>
    <t xml:space="preserve">TÓPICOS ESPECIAIS EM ENGENHARIA DE PRODUÇÃO IV</t>
  </si>
  <si>
    <t xml:space="preserve">MARCELO MELO</t>
  </si>
  <si>
    <t xml:space="preserve">TF0337</t>
  </si>
  <si>
    <t xml:space="preserve">TRABALHO FINAL DE CURSO</t>
  </si>
  <si>
    <t xml:space="preserve">TF0349</t>
  </si>
  <si>
    <t xml:space="preserve">TÓPICOS EM TECNOLOGIA QUÍMICA</t>
  </si>
  <si>
    <t xml:space="preserve">SEBASTIAO MARDONIO PEREIRA DE LUCENA</t>
  </si>
  <si>
    <t xml:space="preserve">TB0861</t>
  </si>
  <si>
    <t xml:space="preserve">GESTÃO DE PROJETOS</t>
  </si>
  <si>
    <t xml:space="preserve">726-13</t>
  </si>
  <si>
    <t xml:space="preserve">TH0125</t>
  </si>
  <si>
    <t xml:space="preserve">ELETRÔNICA INDUSTRIAL</t>
  </si>
  <si>
    <t xml:space="preserve">TJ0053</t>
  </si>
  <si>
    <t xml:space="preserve">AÇOS E LIGAS ESPECIAIS</t>
  </si>
  <si>
    <t xml:space="preserve">CLEITON CARVALHO SILVA</t>
  </si>
  <si>
    <t xml:space="preserve">TE0318</t>
  </si>
  <si>
    <t xml:space="preserve">ELEVAÇÃO DE PETRÓLEO</t>
  </si>
  <si>
    <t xml:space="preserve">CLODOALDO DE OLIVEIRA CARVALHO FILHO</t>
  </si>
  <si>
    <t xml:space="preserve">TI0060</t>
  </si>
  <si>
    <t xml:space="preserve">MATERIAIS ELETRÔNICOS E OPTOELETRÔNICOS</t>
  </si>
  <si>
    <t xml:space="preserve">HILMA HELENA MACEDO DE VASCONCELOS</t>
  </si>
  <si>
    <t xml:space="preserve">726-14</t>
  </si>
  <si>
    <t xml:space="preserve">TE0319</t>
  </si>
  <si>
    <t xml:space="preserve">MÁQUINAS DE FLUXO EM PROCESSOS</t>
  </si>
  <si>
    <t xml:space="preserve">TI0070</t>
  </si>
  <si>
    <t xml:space="preserve">SISTEMAS DE COMUNICAÇÕES VIA RÁDIO</t>
  </si>
  <si>
    <t xml:space="preserve">ELVIO CESAR GIRAUDO (64H)</t>
  </si>
  <si>
    <t xml:space="preserve">TI0123</t>
  </si>
  <si>
    <t xml:space="preserve">REDES ÓPTICAS</t>
  </si>
  <si>
    <t xml:space="preserve">JOAO BATISTA ROSA SILVA (64H)</t>
  </si>
  <si>
    <t xml:space="preserve">TD0966</t>
  </si>
  <si>
    <t xml:space="preserve">RECUPERAÇÃO DE ÁREAS DEGRADADAS</t>
  </si>
  <si>
    <t xml:space="preserve">ANDERSON BORGHETTI SOARES E JOSÉ CARLOS ALVES BARROSO JÚNIOR</t>
  </si>
  <si>
    <t xml:space="preserve">726-15</t>
  </si>
  <si>
    <t xml:space="preserve">TD0957</t>
  </si>
  <si>
    <t xml:space="preserve">GEOTECNIA AMBIENTAL</t>
  </si>
  <si>
    <t xml:space="preserve">TI0161</t>
  </si>
  <si>
    <t xml:space="preserve">DESENVOLVIMENTO DE APLICAÇÕES DISTRIBUÍDAS</t>
  </si>
  <si>
    <t xml:space="preserve">TD0983</t>
  </si>
  <si>
    <t xml:space="preserve">FERNANDO JOSE ARAUJO DA SILVA</t>
  </si>
  <si>
    <t xml:space="preserve">TH0272</t>
  </si>
  <si>
    <t xml:space="preserve">PROJETOS DE SUBESTAÇÕES EM ALTA TENSÃO</t>
  </si>
  <si>
    <t xml:space="preserve">CARLOS GUSTAVO CASTELO BRANCO</t>
  </si>
  <si>
    <t xml:space="preserve">SEGUNDA QUINTA</t>
  </si>
  <si>
    <t xml:space="preserve">TD0932</t>
  </si>
  <si>
    <t xml:space="preserve">BOMBAS E ESTAÇÕES ELEVATÓRIAS</t>
  </si>
  <si>
    <t xml:space="preserve">726-16</t>
  </si>
  <si>
    <t xml:space="preserve">TE0141</t>
  </si>
  <si>
    <t xml:space="preserve">ENGENHARIA DOS MATERIAIS</t>
  </si>
  <si>
    <t xml:space="preserve">EMILIO DE CASTRO MIGUEL</t>
  </si>
  <si>
    <t xml:space="preserve">TH0207</t>
  </si>
  <si>
    <t xml:space="preserve">TÉCNICAS AVANCADAS EM ELETRÔNICA DIGITAL</t>
  </si>
  <si>
    <t xml:space="preserve">PAULO PEIXOTO PRACA</t>
  </si>
  <si>
    <t xml:space="preserve">TH0194</t>
  </si>
  <si>
    <t xml:space="preserve">SUPERVISÃO E CONT. DE SIST. ELÉTRICOS DE POTENCIA</t>
  </si>
  <si>
    <t xml:space="preserve">LUCAS SILVEIRA MELO</t>
  </si>
  <si>
    <t xml:space="preserve">TH0188</t>
  </si>
  <si>
    <t xml:space="preserve">FONTES ALTERNATIVAS DE ENERGIA</t>
  </si>
  <si>
    <t xml:space="preserve">PAULO CESAR MARQUES DE CARVALHO</t>
  </si>
  <si>
    <t xml:space="preserve">726-17</t>
  </si>
  <si>
    <t xml:space="preserve">TE0303</t>
  </si>
  <si>
    <t xml:space="preserve">ANALISE DE SISTEMAS TERMICOS</t>
  </si>
  <si>
    <t xml:space="preserve">TE0268</t>
  </si>
  <si>
    <t xml:space="preserve">TRANSMISSÃO DE CALOR E MECANICA DOS FLUIDOS COMPUTACIONAL</t>
  </si>
  <si>
    <t xml:space="preserve">TE0266</t>
  </si>
  <si>
    <t xml:space="preserve">SISTEMAS MECANICOS PARA ENERGIA DAS MARÉS</t>
  </si>
  <si>
    <t xml:space="preserve">TI0068</t>
  </si>
  <si>
    <t xml:space="preserve">DISPOSITIVOS OPTOELETRÔNICOS</t>
  </si>
  <si>
    <t xml:space="preserve">RUBENS VIANA RAMOS (64H)</t>
  </si>
  <si>
    <t xml:space="preserve">TD0948</t>
  </si>
  <si>
    <t xml:space="preserve">726-18</t>
  </si>
  <si>
    <t xml:space="preserve">TF0375</t>
  </si>
  <si>
    <t xml:space="preserve">PROCESSOS DE REFINO I</t>
  </si>
  <si>
    <t xml:space="preserve">CELIO LOUREIRO CAVALCANTE JUNIOR</t>
  </si>
  <si>
    <t xml:space="preserve">TE0165</t>
  </si>
  <si>
    <t xml:space="preserve">- ELEMENTOS DE MÁQUINAS II</t>
  </si>
  <si>
    <t xml:space="preserve">726-19</t>
  </si>
  <si>
    <t xml:space="preserve">TD0034</t>
  </si>
  <si>
    <t xml:space="preserve">MECÂNICA DOS SOLOS I</t>
  </si>
  <si>
    <t xml:space="preserve">ALFRAN SAMPAIO MOURA E FRANCISCO CHAGAS DA SILVA FILHO</t>
  </si>
  <si>
    <t xml:space="preserve">727-11</t>
  </si>
  <si>
    <t xml:space="preserve">ALFRAN SAMPAIO MOURA</t>
  </si>
  <si>
    <t xml:space="preserve">MARIANA VELLA SILVEIRA</t>
  </si>
  <si>
    <t xml:space="preserve">TD0023</t>
  </si>
  <si>
    <t xml:space="preserve">SISTEMAS DE ABASTECIMENTO DE ÁGUA</t>
  </si>
  <si>
    <t xml:space="preserve">JOSÉ CAPELO NETO</t>
  </si>
  <si>
    <t xml:space="preserve">TD0955</t>
  </si>
  <si>
    <t xml:space="preserve">OPERAÇÕES UNITÁRIAS</t>
  </si>
  <si>
    <t xml:space="preserve">TB0802</t>
  </si>
  <si>
    <t xml:space="preserve">ESTRUTURAS DE AÇO I</t>
  </si>
  <si>
    <t xml:space="preserve">LEONARDO BEZERRA</t>
  </si>
  <si>
    <t xml:space="preserve">TD0935</t>
  </si>
  <si>
    <t xml:space="preserve">GESTÃO DE RECURSOS HÍDRICOS</t>
  </si>
  <si>
    <t xml:space="preserve">TICIANA MARINHO</t>
  </si>
  <si>
    <t xml:space="preserve">TE0275</t>
  </si>
  <si>
    <t xml:space="preserve">METROLOGIA CIENTÍFICA E INDUSTRIAL</t>
  </si>
  <si>
    <t xml:space="preserve">LUIZ SOARES JUNIOR</t>
  </si>
  <si>
    <t xml:space="preserve">TK0271</t>
  </si>
  <si>
    <t xml:space="preserve">INOVAÇÃO, EMPREENDORISMO E MODELAGEM DE NEGÓCIOS</t>
  </si>
  <si>
    <t xml:space="preserve">ABRAÃO</t>
  </si>
  <si>
    <t xml:space="preserve">TK0236</t>
  </si>
  <si>
    <t xml:space="preserve">PROJETO INDUSTRIAL</t>
  </si>
  <si>
    <t xml:space="preserve">TD0042</t>
  </si>
  <si>
    <t xml:space="preserve">PROJETO TEMÁTICO I – SEMANA DE ENGENHARIA AMBIENTAL E SANITÁRIA</t>
  </si>
  <si>
    <t xml:space="preserve">727-12</t>
  </si>
  <si>
    <t xml:space="preserve">TH0192</t>
  </si>
  <si>
    <t xml:space="preserve">TRANSMISSAO DE ENERGIA ELÉTRICA</t>
  </si>
  <si>
    <t xml:space="preserve">RAQUEL CRISTINA FILIAGI GREGORY</t>
  </si>
  <si>
    <t xml:space="preserve">TE0283</t>
  </si>
  <si>
    <t xml:space="preserve">REFRIGERAÇÃO E CONDICIONAMENTO DE AR</t>
  </si>
  <si>
    <t xml:space="preserve">TE0351</t>
  </si>
  <si>
    <t xml:space="preserve">TRANSFERÊNCIA DE CALOR II</t>
  </si>
  <si>
    <t xml:space="preserve">MARIA ALEXSANDRA</t>
  </si>
  <si>
    <t xml:space="preserve">TD0929</t>
  </si>
  <si>
    <t xml:space="preserve">SANEAMENTO II</t>
  </si>
  <si>
    <t xml:space="preserve">ANDRÉ BEZERRA</t>
  </si>
  <si>
    <t xml:space="preserve">727-13</t>
  </si>
  <si>
    <t xml:space="preserve">TH0185</t>
  </si>
  <si>
    <t xml:space="preserve">INSTALACOES ELÉTRICAS INDUSTRIAIS</t>
  </si>
  <si>
    <t xml:space="preserve">727-14</t>
  </si>
  <si>
    <t xml:space="preserve">FRANCISCO KLEBER DE ARAUJO LIMA</t>
  </si>
  <si>
    <t xml:space="preserve">TI0056</t>
  </si>
  <si>
    <t xml:space="preserve">INTRODUÇÃO A TEORIA DA INFORMAÇÃO</t>
  </si>
  <si>
    <t xml:space="preserve">WALTER DA CRUZ FREITAS JUNIOR (64H)</t>
  </si>
  <si>
    <t xml:space="preserve">TD0043</t>
  </si>
  <si>
    <t xml:space="preserve">AVALIAÇÃO E CONTROLE DE IMPACTOS AMBIENTAIS</t>
  </si>
  <si>
    <t xml:space="preserve">ANA BÁRBARA DE ARAÚJO NUNES</t>
  </si>
  <si>
    <t xml:space="preserve">727-21 </t>
  </si>
  <si>
    <t xml:space="preserve">TD0044</t>
  </si>
  <si>
    <t xml:space="preserve">GERENCIAMENTO AMBIENTAL NA EMPRESA</t>
  </si>
  <si>
    <t xml:space="preserve">TD0031</t>
  </si>
  <si>
    <t xml:space="preserve">MICROBIOLOGIA APLICADA</t>
  </si>
  <si>
    <t xml:space="preserve">PAULO IGOR MILEN FIRMINO</t>
  </si>
  <si>
    <t xml:space="preserve">DB0103</t>
  </si>
  <si>
    <t xml:space="preserve">DIREITO AMBIENTAL</t>
  </si>
  <si>
    <t xml:space="preserve">FERNANDO JOSÉ ARAÚJO DA SILVA</t>
  </si>
  <si>
    <t xml:space="preserve">TD0978</t>
  </si>
  <si>
    <t xml:space="preserve">MECÂNICA DOS FLUIDOS</t>
  </si>
  <si>
    <t xml:space="preserve">IRAN EDUARDO LIMA NETO</t>
  </si>
  <si>
    <t xml:space="preserve">TI0151</t>
  </si>
  <si>
    <t xml:space="preserve">SISTEMAS DISTRIBUÍDOS</t>
  </si>
  <si>
    <t xml:space="preserve">PAULO ANTONIO LEAL REGO</t>
  </si>
  <si>
    <t xml:space="preserve">TH0195</t>
  </si>
  <si>
    <t xml:space="preserve">QUALIDADE DE ENERGIA ELÉTRICA</t>
  </si>
  <si>
    <t xml:space="preserve">TK0133</t>
  </si>
  <si>
    <t xml:space="preserve">FUNDAMENTOS DA ECONOMIA</t>
  </si>
  <si>
    <t xml:space="preserve">TD0939</t>
  </si>
  <si>
    <t xml:space="preserve">INSTALAÇÕES HIDRÁULICAS E SANITÁRIAS</t>
  </si>
  <si>
    <t xml:space="preserve">JOSÉ CARLOS ALVES BARROSO JÚNIOR</t>
  </si>
  <si>
    <t xml:space="preserve">727-22</t>
  </si>
  <si>
    <t xml:space="preserve">TD0041</t>
  </si>
  <si>
    <t xml:space="preserve">HIDROLOGIA</t>
  </si>
  <si>
    <t xml:space="preserve">SAMIRIA MARIA OLIVEIRA DA SILVA</t>
  </si>
  <si>
    <t xml:space="preserve">FRANCISCO DE ASSIS DE SOUZA FILHO</t>
  </si>
  <si>
    <t xml:space="preserve">TE0408</t>
  </si>
  <si>
    <t xml:space="preserve">ENERGIA EOLICA</t>
  </si>
  <si>
    <t xml:space="preserve">CARLA FREITAS DE ANDRADE</t>
  </si>
  <si>
    <t xml:space="preserve">TE0271</t>
  </si>
  <si>
    <t xml:space="preserve">DESENHO TÉCNICO MECÂNICO</t>
  </si>
  <si>
    <t xml:space="preserve">LACT 2 (LACG)</t>
  </si>
  <si>
    <t xml:space="preserve">TK0290</t>
  </si>
  <si>
    <t xml:space="preserve">MÉTODOS AVANÇADOS PARA PREVISÃO DE DEMANDA</t>
  </si>
  <si>
    <t xml:space="preserve">GABRIELLY</t>
  </si>
  <si>
    <t xml:space="preserve">LACT 3</t>
  </si>
  <si>
    <t xml:space="preserve">TERÇA SEXTA</t>
  </si>
  <si>
    <t xml:space="preserve">TC0593</t>
  </si>
  <si>
    <t xml:space="preserve">TOPOGRAFIA</t>
  </si>
  <si>
    <t xml:space="preserve">NADJA GLHEUCA DA SILVA DUTRA MONTENEGRO</t>
  </si>
  <si>
    <t xml:space="preserve">QUINTA SEXTA</t>
  </si>
  <si>
    <t xml:space="preserve">TURMA - 02A </t>
  </si>
  <si>
    <t xml:space="preserve">CARLOS AUGUSTO UCHOA DA SILVA</t>
  </si>
  <si>
    <t xml:space="preserve">TD0965</t>
  </si>
  <si>
    <t xml:space="preserve">SISTEMAS DE ESGOTAMENTO E TRATAMENTO DE ÁGUAS RESIDUÁRIAS</t>
  </si>
  <si>
    <t xml:space="preserve">ANDRÉ BEZERRA DOS SANTOS</t>
  </si>
  <si>
    <t xml:space="preserve">CE0900</t>
  </si>
  <si>
    <t xml:space="preserve">FUNDAMENTOS DE QUÍMICA APLICADOS A ENGENHARIA</t>
  </si>
  <si>
    <t xml:space="preserve">TURMA - 1B</t>
  </si>
  <si>
    <t xml:space="preserve">?:</t>
  </si>
  <si>
    <t xml:space="preserve">TURMA - 02B</t>
  </si>
  <si>
    <t xml:space="preserve">CD0304</t>
  </si>
  <si>
    <t xml:space="preserve">LABORATORIO DE ELETRICIDADE</t>
  </si>
  <si>
    <t xml:space="preserve">JOSE ALVES DE LIMA</t>
  </si>
  <si>
    <t xml:space="preserve">BLOCO 927-LABORATORIO DE ELETRICIDADE</t>
  </si>
  <si>
    <t xml:space="preserve">TE0304</t>
  </si>
  <si>
    <t xml:space="preserve">AERODINAMICA</t>
  </si>
  <si>
    <t xml:space="preserve">CF0699</t>
  </si>
  <si>
    <t xml:space="preserve">ACUMULADORES ELETROQUIMICOS DE ENERGIA</t>
  </si>
  <si>
    <t xml:space="preserve">PAULO NAFTALI DA SILVA CASCIANO</t>
  </si>
  <si>
    <t xml:space="preserve">TE0404</t>
  </si>
  <si>
    <t xml:space="preserve">BIOMASSA E BIOCOMBUSTIVEL</t>
  </si>
  <si>
    <t xml:space="preserve">MONICA CASTELO GUIMARAES ALBUQUERQUE</t>
  </si>
  <si>
    <t xml:space="preserve">TE0314</t>
  </si>
  <si>
    <t xml:space="preserve">SISTEMA DE COMBUSTAO APLICADO A BIOMASS</t>
  </si>
  <si>
    <t xml:space="preserve">CE0892</t>
  </si>
  <si>
    <t xml:space="preserve">QUIMICA APLICADA</t>
  </si>
  <si>
    <t xml:space="preserve">IUV0005</t>
  </si>
  <si>
    <t xml:space="preserve">DIFERENÇA E ENFRENTAMENTO PROFISSIONAL NAS DIFICULDADES SOCIAIS</t>
  </si>
  <si>
    <t xml:space="preserve">ROBSON CARLOS LOUREIRO, FRANCISCO HERBERT LIMA VASCONCELOS</t>
  </si>
  <si>
    <t xml:space="preserve">CB0664</t>
  </si>
  <si>
    <t xml:space="preserve">CB0664 - CALCULO FUNDAMENTAL</t>
  </si>
  <si>
    <t xml:space="preserve">TJ0001</t>
  </si>
  <si>
    <t xml:space="preserve">INTRODUCAO A ENGENHARIA</t>
  </si>
  <si>
    <t xml:space="preserve">TC0617</t>
  </si>
  <si>
    <t xml:space="preserve">DESENHO PARA ENGENHARIA</t>
  </si>
  <si>
    <t xml:space="preserve">TE0157</t>
  </si>
  <si>
    <t xml:space="preserve">MECÂNICA DOS SOLIDOS II</t>
  </si>
  <si>
    <t xml:space="preserve">VANESSA VIEIRA GONÇALVES</t>
  </si>
  <si>
    <t xml:space="preserve">TE0162</t>
  </si>
  <si>
    <t xml:space="preserve">MOTORES TERMICOS</t>
  </si>
  <si>
    <t xml:space="preserve">ANDRE VALENTE BUENO</t>
  </si>
  <si>
    <t xml:space="preserve">TE0138</t>
  </si>
  <si>
    <t xml:space="preserve">DINÂMICA DOS FLUIDOS</t>
  </si>
  <si>
    <t xml:space="preserve">PAULO ALEXANDRE COSTA ROCHA</t>
  </si>
  <si>
    <t xml:space="preserve">CD0327</t>
  </si>
  <si>
    <t xml:space="preserve">FISICA FUNDAMENTAL</t>
  </si>
  <si>
    <t xml:space="preserve">CALCULO FUNDAMENTAL</t>
  </si>
  <si>
    <t xml:space="preserve">CG0499</t>
  </si>
  <si>
    <t xml:space="preserve">GEOFÍSICA DO PETROLEO</t>
  </si>
  <si>
    <t xml:space="preserve">NARELLE MAIA DE ALMEIDA</t>
  </si>
  <si>
    <t xml:space="preserve">tk0242</t>
  </si>
  <si>
    <t xml:space="preserve">LOGÍSTICA REVERSA</t>
  </si>
  <si>
    <t xml:space="preserve">PPGEE</t>
  </si>
  <si>
    <t xml:space="preserve">THP8000</t>
  </si>
  <si>
    <t xml:space="preserve">CONVERSORES CC-CA</t>
  </si>
  <si>
    <t xml:space="preserve">DEMERCIL DE SOUZA</t>
  </si>
  <si>
    <t xml:space="preserve">TIP8511</t>
  </si>
  <si>
    <t xml:space="preserve">ANÁLISE E CONTROLE DE SISTEMAS</t>
  </si>
  <si>
    <t xml:space="preserve">FABRÍCIO NOGUEIRA</t>
  </si>
  <si>
    <t xml:space="preserve">THP7266</t>
  </si>
  <si>
    <t xml:space="preserve">ESTUDOS ESPECIAIS IBRS</t>
  </si>
  <si>
    <t xml:space="preserve">KLEBER LIMA</t>
  </si>
  <si>
    <t xml:space="preserve">THP</t>
  </si>
  <si>
    <t xml:space="preserve">ESTUDOS ESPECIAIS REDES ELÉTRICAS</t>
  </si>
  <si>
    <t xml:space="preserve">RAIMUNDO FURTADO / LUCAS MELO</t>
  </si>
  <si>
    <t xml:space="preserve">SEM</t>
  </si>
  <si>
    <t xml:space="preserve">SEMINÁRIOS</t>
  </si>
  <si>
    <t xml:space="preserve">LUCAS MELO</t>
  </si>
  <si>
    <t xml:space="preserve">THP7000</t>
  </si>
  <si>
    <t xml:space="preserve">ELETRÔNICA DE POTÊNCIA</t>
  </si>
  <si>
    <t xml:space="preserve">DALTON HONÓRIO</t>
  </si>
  <si>
    <t xml:space="preserve">THP8166</t>
  </si>
  <si>
    <t xml:space="preserve">CONVERSORES ESTÁTICOS</t>
  </si>
  <si>
    <t xml:space="preserve">FERNANDO ANTUNES</t>
  </si>
  <si>
    <t xml:space="preserve">THP8077</t>
  </si>
  <si>
    <t xml:space="preserve">FONTES CHAVEADAS</t>
  </si>
  <si>
    <t xml:space="preserve">LUIZ HENRIQUE</t>
  </si>
  <si>
    <t xml:space="preserve">THP7988</t>
  </si>
  <si>
    <t xml:space="preserve">PLANEJAMENTO ENERGÉTICO</t>
  </si>
  <si>
    <t xml:space="preserve">PAULO CARVALHO</t>
  </si>
  <si>
    <t xml:space="preserve">TIP8544</t>
  </si>
  <si>
    <t xml:space="preserve">TÉCNICAS DE CONTROLE DIGITAL</t>
  </si>
  <si>
    <t xml:space="preserve">PAULO PRAÇA</t>
  </si>
  <si>
    <t xml:space="preserve">THP7222</t>
  </si>
  <si>
    <t xml:space="preserve">ESTUDOS ESPECIAISCONVERSORES CC-CC</t>
  </si>
  <si>
    <t xml:space="preserve">MENAOUAR BERREHIL</t>
  </si>
  <si>
    <t xml:space="preserve">CE0896</t>
  </si>
  <si>
    <t xml:space="preserve">QUÍMICA ORGÂNICA TEÓRICA II</t>
  </si>
  <si>
    <t xml:space="preserve">TI0135</t>
  </si>
  <si>
    <t xml:space="preserve">AÇÕES INTEGRADAS DE CIÊNCIA E TECNOLOGIA I</t>
  </si>
  <si>
    <t xml:space="preserve">ALBERTO SAMPAIO LIMA (32H)</t>
  </si>
  <si>
    <t xml:space="preserve">JOAO BATISTA ROSA SILVA (32H)</t>
  </si>
  <si>
    <t xml:space="preserve">TI0137</t>
  </si>
  <si>
    <t xml:space="preserve">AÇÕES INTEGRADAS DE CIÊNCIA E TECNOLOGIA III</t>
  </si>
  <si>
    <t xml:space="preserve">20:00</t>
  </si>
  <si>
    <t xml:space="preserve">TI0195</t>
  </si>
  <si>
    <t xml:space="preserve">LABORATÓRIO DE CIRCUITOS DIGITAIS</t>
  </si>
  <si>
    <t xml:space="preserve">NICOLAS DE ARAUJO MOREIRA (32H)</t>
  </si>
  <si>
    <t xml:space="preserve">TI0136</t>
  </si>
  <si>
    <t xml:space="preserve">AÇÕES INTEGRADAS DE CIÊNCIA E TECNOLOGIA II</t>
  </si>
  <si>
    <t xml:space="preserve">CD0384</t>
  </si>
  <si>
    <t xml:space="preserve">EXPERIMENTOS DE FÍSICA</t>
  </si>
  <si>
    <t xml:space="preserve">JOSE ALVES DE LIMA JUNIOR (32H)</t>
  </si>
  <si>
    <t xml:space="preserve">YURI CARVALHO BARBOSA SILVA (32H)</t>
  </si>
  <si>
    <t xml:space="preserve">KLEBER ZUZA NOBREGA (32H)</t>
  </si>
  <si>
    <t xml:space="preserve">TI0087</t>
  </si>
  <si>
    <t xml:space="preserve">COMUNICAÇÕES MÓVEIS II</t>
  </si>
  <si>
    <t xml:space="preserve">YURI CARVALHO BARBOSA SILVA (64H)</t>
  </si>
  <si>
    <t xml:space="preserve">WALTER DA CRUZ FREITAS JUNIOR (32H)</t>
  </si>
  <si>
    <t xml:space="preserve">TI0204</t>
  </si>
  <si>
    <t xml:space="preserve">LABORATÓRIO DE CIRCUITOS ELETRÔNICOS</t>
  </si>
  <si>
    <t xml:space="preserve">FAZAL E ASIM (32H)</t>
  </si>
  <si>
    <t xml:space="preserve">TURMA - 09A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</si>
</sst>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b val="true"/>
      <sz val="11"/>
      <color theme="4" tint="-0.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7999"/>
        <bgColor rgb="FFCCFFFF"/>
      </patternFill>
    </fill>
    <fill>
      <patternFill patternType="solid">
        <fgColor theme="6" tint="0.5999"/>
        <bgColor rgb="FFC2F1C8"/>
      </patternFill>
    </fill>
    <fill>
      <patternFill patternType="solid">
        <fgColor rgb="FFFFFFFF"/>
        <bgColor rgb="FFFFFFCC"/>
      </patternFill>
    </fill>
    <fill>
      <patternFill patternType="solid">
        <fgColor theme="5" tint="0.5999"/>
        <bgColor rgb="FFF2CFEE"/>
      </patternFill>
    </fill>
    <fill>
      <patternFill patternType="solid">
        <fgColor rgb="FFD9E2F3"/>
        <bgColor rgb="FFF2CFEE"/>
      </patternFill>
    </fill>
    <fill>
      <patternFill patternType="solid">
        <fgColor theme="8" tint="0.7999"/>
        <bgColor rgb="FFD9E2F3"/>
      </patternFill>
    </fill>
    <fill>
      <patternFill patternType="solid">
        <fgColor rgb="FFFFC000"/>
        <bgColor rgb="FFFF99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10">
    <dxf>
      <fill>
        <patternFill patternType="solid">
          <fgColor rgb="FFC2F1C8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4E29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3041"/>
          <bgColor rgb="FF000000"/>
        </patternFill>
      </fill>
    </dxf>
    <dxf>
      <fill>
        <patternFill patternType="solid">
          <fgColor rgb="FFF2CFEE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D9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CFE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4E291"/>
      <rgbColor rgb="FFFF99CC"/>
      <rgbColor rgb="FFCC99FF"/>
      <rgbColor rgb="FFF6C6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B3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99" createdVersion="3">
  <cacheSource type="worksheet">
    <worksheetSource ref="A1:L400" sheet="salas"/>
  </cacheSource>
  <cacheFields count="12">
    <cacheField name="CURSO" numFmtId="0">
      <sharedItems count="12">
        <s v="AMBIENTAL"/>
        <s v="CIVIL"/>
        <s v="COMPUTAÇÃO"/>
        <s v="ELÉTRICA"/>
        <s v="ENERGIAS RENOVÁVEIS"/>
        <s v="MECÂNICA"/>
        <s v="METALÚRGICA"/>
        <s v="PETRÓLEO"/>
        <s v="PPGEE"/>
        <s v="PRODUÇÃO"/>
        <s v="QUÍMICA"/>
        <s v="TELECOMUNICAÇÕES"/>
      </sharedItems>
    </cacheField>
    <cacheField name="CODIGO" numFmtId="0">
      <sharedItems count="241">
        <s v="CB0664"/>
        <s v="CB0682"/>
        <s v="CB0699"/>
        <s v="CB0702"/>
        <s v="CB0705"/>
        <s v="CB0706"/>
        <s v="CB0708"/>
        <s v="CC0265"/>
        <s v="CD0304"/>
        <s v="CD0327"/>
        <s v="CD0335"/>
        <s v="CD0381"/>
        <s v="CD0382"/>
        <s v="CD0383"/>
        <s v="CD0384"/>
        <s v="CE0892"/>
        <s v="CE0894"/>
        <s v="CE0896"/>
        <s v="CE0900"/>
        <s v="CF0001"/>
        <s v="CF0699"/>
        <s v="CG0499"/>
        <s v="CH0857"/>
        <s v="CK0181"/>
        <s v="CK0187"/>
        <s v="CK0188"/>
        <s v="CK0203"/>
        <s v="CK0270"/>
        <s v="CK0275"/>
        <s v="CK0282"/>
        <s v="DB0103"/>
        <s v="DB0121"/>
        <s v="IUV0005"/>
        <s v="SEM"/>
        <s v="TB0026"/>
        <s v="TB0792"/>
        <s v="TB0801"/>
        <s v="TB0802"/>
        <s v="TB0803"/>
        <s v="TB0811"/>
        <s v="TB0860"/>
        <s v="TB0861"/>
        <s v="TC0593"/>
        <s v="TC0598"/>
        <s v="TC0617"/>
        <s v="TD0019"/>
        <s v="TD0023"/>
        <s v="TD0031"/>
        <s v="TD0034"/>
        <s v="TD0040"/>
        <s v="TD0041"/>
        <s v="TD0042"/>
        <s v="TD0043"/>
        <s v="TD0044"/>
        <s v="TD0922"/>
        <s v="TD0929"/>
        <s v="TD0932"/>
        <s v="TD0933"/>
        <s v="TD0935"/>
        <s v="TD0937"/>
        <s v="TD0939"/>
        <s v="TD0943"/>
        <s v="TD0944"/>
        <s v="TD0948"/>
        <s v="TD0950"/>
        <s v="TD0955"/>
        <s v="TD0957"/>
        <s v="TD0965"/>
        <s v="TD0966"/>
        <s v="TD0978"/>
        <s v="TD0980"/>
        <s v="TD0982"/>
        <s v="TD0983"/>
        <s v="TE0135"/>
        <s v="TE0138"/>
        <s v="TE0141"/>
        <s v="TE0146"/>
        <s v="TE0157"/>
        <s v="TE0160"/>
        <s v="TE0162"/>
        <s v="TE0164"/>
        <s v="TE0165"/>
        <s v="TE0168"/>
        <s v="TE0169"/>
        <s v="TE0170"/>
        <s v="TE0206"/>
        <s v="TE0228"/>
        <s v="TE0232"/>
        <s v="TE0252"/>
        <s v="TE0263"/>
        <s v="TE0266"/>
        <s v="TE0268"/>
        <s v="TE0271"/>
        <s v="TE0273"/>
        <s v="TE0274"/>
        <s v="TE0275"/>
        <s v="TE0280"/>
        <s v="TE0283"/>
        <s v="TE0302"/>
        <s v="TE0303"/>
        <s v="TE0304"/>
        <s v="TE0308"/>
        <s v="TE0312"/>
        <s v="TE0313"/>
        <s v="TE0314"/>
        <s v="TE0318"/>
        <s v="TE0319"/>
        <s v="TE0330"/>
        <s v="TE0331"/>
        <s v="TE0351"/>
        <s v="TE0402"/>
        <s v="TE0404"/>
        <s v="TE0408"/>
        <s v="TE0427"/>
        <s v="TE0801"/>
        <s v="TE1003"/>
        <s v="TF0004"/>
        <s v="TF0005"/>
        <s v="TF0009"/>
        <s v="TF0010"/>
        <s v="TF0011"/>
        <s v="TF0022"/>
        <s v="TF0312"/>
        <s v="TF0320"/>
        <s v="TF0326"/>
        <s v="TF0328"/>
        <s v="TF0329"/>
        <s v="TF0330"/>
        <s v="TF0331"/>
        <s v="TF0332"/>
        <s v="TF0337"/>
        <s v="TF0340"/>
        <s v="TF0349"/>
        <s v="TF0365"/>
        <s v="TF0366"/>
        <s v="TF0367"/>
        <s v="TF0375"/>
        <s v="TF0377"/>
        <s v="TF0379"/>
        <s v="TH0125"/>
        <s v="TH0177"/>
        <s v="TH0181"/>
        <s v="TH0185"/>
        <s v="TH0188"/>
        <s v="TH0191"/>
        <s v="TH0192"/>
        <s v="TH0194"/>
        <s v="TH0195"/>
        <s v="TH0200"/>
        <s v="TH0207"/>
        <s v="TH0215"/>
        <s v="TH0220"/>
        <s v="TH0233"/>
        <s v="TH0238"/>
        <s v="TH0246"/>
        <s v="TH0248"/>
        <s v="TH0255"/>
        <s v="TH0257"/>
        <s v="TH0272"/>
        <s v="TH0276"/>
        <s v="THP"/>
        <s v="THP7000"/>
        <s v="THP7222"/>
        <s v="THP7266"/>
        <s v="THP7988"/>
        <s v="THP8000"/>
        <s v="THP8077"/>
        <s v="THP8166"/>
        <s v="TI0056"/>
        <s v="TI0060"/>
        <s v="TI0065"/>
        <s v="TI0068"/>
        <s v="TI0069"/>
        <s v="TI0070"/>
        <s v="TI0073"/>
        <s v="TI0087"/>
        <s v="TI0091"/>
        <s v="TI0111"/>
        <s v="TI0113"/>
        <s v="TI0115"/>
        <s v="TI0116"/>
        <s v="TI0120"/>
        <s v="TI0121"/>
        <s v="TI0123"/>
        <s v="TI0131"/>
        <s v="TI0135"/>
        <s v="TI0136"/>
        <s v="TI0137"/>
        <s v="TI0143"/>
        <s v="TI0145"/>
        <s v="TI0151"/>
        <s v="TI0161"/>
        <s v="TI0162"/>
        <s v="TI0164"/>
        <s v="TI0170"/>
        <s v="TI0171"/>
        <s v="TI0175"/>
        <s v="TI0176"/>
        <s v="TI0177"/>
        <s v="TI0194"/>
        <s v="TI0195"/>
        <s v="TI0196"/>
        <s v="TI0201"/>
        <s v="TI0203"/>
        <s v="TI0204"/>
        <s v="TI0227"/>
        <s v="TI0228"/>
        <s v="TIP8511"/>
        <s v="TIP8544"/>
        <s v="TJ0001"/>
        <s v="TJ0053"/>
        <s v="TK0133"/>
        <s v="TK0134"/>
        <s v="TK0147"/>
        <s v="TK0152"/>
        <s v="TK0220"/>
        <s v="TK0231"/>
        <s v="TK0233"/>
        <s v="TK0234"/>
        <s v="TK0235"/>
        <s v="TK0236"/>
        <s v="TK0241"/>
        <s v="tk0242"/>
        <s v="TK0248"/>
        <s v="TK0253"/>
        <s v="TK0266"/>
        <s v="TK0267"/>
        <s v="TK0268"/>
        <s v="TK0271"/>
        <s v="TK0274"/>
        <s v="TK0275"/>
        <s v="TK0276"/>
        <s v="TK0279"/>
        <s v="TK0290"/>
        <s v="TK0294"/>
        <s v="TL0009"/>
        <s v="TL0010"/>
        <s v="TL0011"/>
        <s v="TL0015"/>
        <s v="TL0018"/>
        <s v="TL0021"/>
      </sharedItems>
    </cacheField>
    <cacheField name="DISCIPLINA" numFmtId="0">
      <sharedItems count="257">
        <s v="&#9;GERACAO, TRANSMISSAO E DIST. DE ENERGIA ELÉTRICA"/>
        <s v="&#9;PRINCÍPIOS DE COMUNICAÇÕES"/>
        <s v=" ANÁLISE NUMÉRICA PARA ENGENHARIA QUÍMICA"/>
        <s v=" MICROBIOLOGIA BÁSICA "/>
        <s v="- BIOMASSA PARA ENERGIA E BIOCOMBUSTÍVEIS"/>
        <s v="- COMPORTAMENTO MECÂNICO DOS MATERIAIS"/>
        <s v="- CONVERSÃO DE ENERGIA DAS ONDAS DOS OCEANOS"/>
        <s v="- ELEMENTOS DE MÁQUINAS II"/>
        <s v="- FUNDAMENTOS DE MECÂNICA DOS SOLIDOS"/>
        <s v="- MANUTENÇÃO DE EQUIPAMENTOS INDUSTRIAIS"/>
        <s v="- PROCESSOS TRADICIONAIS DE USINAGEM"/>
        <s v="ACIONAMENTO E CONTROLE HIDRÁULICO E PNEUMÁTICO"/>
        <s v="AÇÕES INTEGRADAS DE CIÊNCIA E TECNOLOGIA I"/>
        <s v="AÇÕES INTEGRADAS DE CIÊNCIA E TECNOLOGIA II"/>
        <s v="AÇÕES INTEGRADAS DE CIÊNCIA E TECNOLOGIA III"/>
        <s v="AÇOS E LIGAS ESPECIAIS"/>
        <s v="ACUMULADORES ELETROQUIMICOS DE ENERGIA"/>
        <s v="AERODINAMICA"/>
        <s v="ALGEBRA APLICADA I"/>
        <s v="ALGEBRA LINEAR"/>
        <s v="ÁLGEBRA LINEAR"/>
        <s v="ALGEBRA LINEAR PARA ENGENHARIA"/>
        <s v="ÁLGEBRA LINEAR PARA ENGENHARIA"/>
        <s v="ANÁLISE DE EFICIÊNCIA E PRODUTIVIDADE"/>
        <s v="ANALISE DE SISTEMAS TERMICOS"/>
        <s v="ANÁLISE E CONTROLE DE SISTEMAS"/>
        <s v="ANTENAS"/>
        <s v="AUTÔMATOS E TEORIA DA COMPUTAÇÃO"/>
        <s v="AVALIAÇÃO E CONTROLE DE IMPACTOS AMBIENTAIS"/>
        <s v="BIOCOMBUSTÍVEIS"/>
        <s v="BIOMASSA E BIOCOMBUSTIVEL"/>
        <s v="BOMBAS E ESTAÇÕES ELEVATÓRIAS"/>
        <s v="CADEIAS DE SUPRIMENTOS LOCAIS"/>
        <s v="CALCULO FUNDAMENTAL"/>
        <s v="CALCULO FUNDAMENTAL II"/>
        <s v="CÁLCULO FUNDAMENTAL II"/>
        <s v="CALCULO II"/>
        <s v="CÁLCULO II"/>
        <s v="CÁLCULO NUMÉRICO"/>
        <s v="CÁLCULOS DE REATORES II "/>
        <s v="CB0664 - CALCULO FUNDAMENTAL"/>
        <s v="CIENCIA DOS MATERIAIS"/>
        <s v="CIRCUITOS DIGITAIS"/>
        <s v="CIRCUITOS ELÉTRICOS I"/>
        <s v="CIRCUITOS ELETRÔNICOS"/>
        <s v="CIRCUITOS ELEYTRICOS PARA ENERGIAS RENOVAVEIS"/>
        <s v="COMPORTAMENTO DE FASES DE SISTEMAS DE HIDROCARBONETOS "/>
        <s v="COMUNICAÇÕES MÓVEIS II"/>
        <s v="CONSTRUÇÃO E ANÁLISE DE ALGORITMOS"/>
        <s v="CONTROLE DE SISTEMAS DINÂMICOS"/>
        <s v="CONVERSÃO ELETROMECÂNICA DE ENERGIA"/>
        <s v="CONVERSORES CC-CA"/>
        <s v="CONVERSORES ESTÁTICOS"/>
        <s v="DESENHO PARA ENGENHARIA"/>
        <s v="DESENHO TÉCNICO MECÂNICO"/>
        <s v="DESENVOLVIMENTO DE APLICAÇÕES DISTRIBUÍDAS"/>
        <s v="DIFERENÇA E ENFRENTAMENTO PROFISSIONAL NAS DIFICULDADES SOCIAIS"/>
        <s v="DINAMICA DAS MAQUINAS PARA ENERGIAS RENOVÁVEIS"/>
        <s v="DINÂMICA DOS FLUIDOS"/>
        <s v="DINAMICA DOS FLUIDOS I"/>
        <s v="DINÂMICA DOS FLUIDOS I"/>
        <s v="DINÂMICA DOS SISTEMAS MECÂNICOS"/>
        <s v="DINÂMICA E CONTROLE DE PROCESSOS "/>
        <s v="DIREITO AMBIENTAL"/>
        <s v="DIREITO DO PETROLEO"/>
        <s v="DISPOSITIVOS OPTOELETRÔNICOS"/>
        <s v="DRENAGEM URBANA"/>
        <s v="ELEMENTOS DE FENOMENOS DE TRANSPORTE"/>
        <s v="ELEMENTOS DE MÁQUINAS I"/>
        <s v="ELETROMAGNETISMO APLICADO"/>
        <s v="ELETROMAGNETISMO APLICADO I"/>
        <s v="ELETROMAGNETISMO BÁSICO"/>
        <s v="ELETRÔNICA DE POTENCIA"/>
        <s v="ELETRÔNICA DE POTÊNCIA"/>
        <s v="ELETRÔNICA INDUSTRIAL"/>
        <s v="ELETROTÉCNICA INDUSTRIAL"/>
        <s v="ELEVAÇÃO DE PETRÓLEO"/>
        <s v="EMGENHARIA AMBIENTAL"/>
        <s v="EMPREENDEDORISMO E INOVAÇÃO"/>
        <s v="ENERGIA EOLICA"/>
        <s v="ENERGIA SOLAR TERMICA"/>
        <s v="ENGENHARIA AMBIENTAL"/>
        <s v="ENGENHARIA DAS REAÇÕES QUÍMICAS I"/>
        <s v="ENGENHARIA DO PRODUTO"/>
        <s v="ENGENHARIA DOS MATERIAIS"/>
        <s v="ENGENHARIA ECONÔMICA"/>
        <s v="EQUAÇÕES DIFERENCIAIS"/>
        <s v="EQUAÇÕES DIFERENCIAIS "/>
        <s v="ERGONOMIA"/>
        <s v="ESTATÍSTICA PARA ENGENHARIA"/>
        <s v="ESTRUTURAS DE AÇO I"/>
        <s v="ESTRUTURAS DE CONCRETO II"/>
        <s v="ESTRUTURAS DE CONCRETO PRÉ-MOLDADO"/>
        <s v="ESTUDOS ESPECIAIS IBRS"/>
        <s v="ESTUDOS ESPECIAIS REDES ELÉTRICAS"/>
        <s v="ESTUDOS ESPECIAISCONVERSORES CC-CC"/>
        <s v="EXPERIMENTOS DE FÍSICA"/>
        <s v="FENOMENOS DE TRANSPORTE"/>
        <s v="FENOMENOS DE TRANSPORTE I"/>
        <s v="FINANÇAS EMPRESARIAIS"/>
        <s v="FÍSICA APLICADA PARA ENGENHARIA I"/>
        <s v="FISICA FUNDAMENTAL"/>
        <s v="FISICA ONDULATORIA E DE PARTICULAS"/>
        <s v="FÍSICA ONDULATORIA E DE PARTICULAS "/>
        <s v="FÍSICA PARA ENGENHARIA I"/>
        <s v="FLUIDOS DE PERFURAÇÃO E COMPLETAÇÃO DE POÇOS"/>
        <s v="FONTES ALTERNATIVAS DE ENERGIA"/>
        <s v="FONTES CHAVEADAS"/>
        <s v="FUNDAMENTOS DA ADMINISTRAÇÃO"/>
        <s v="FUNDAMENTOS DA ECONOMIA"/>
        <s v="FUNDAMENTOS DE ADMINISTRAÇÃO"/>
        <s v="FUNDAMENTOS DE ADMINISTRAÇÃO E ECONOMIA"/>
        <s v="FUNDAMENTOS DE BANCO DE DADOS"/>
        <s v="FUNDAMENTOS DE FÍSICA I"/>
        <s v="FUNDAMENTOS DE FÍSICA II"/>
        <s v="FUNDAMENTOS DE FÍSICA III"/>
        <s v="FUNDAMENTOS DE MECÂNICA DOS SOLIDOS"/>
        <s v="FUNDAMENTOS DE QUÍMICA APLICADOS A ENGENHARIA"/>
        <s v="FUNDAMENTOS E EXPRESSÃO GRAFICA DE PROJETOS"/>
        <s v="FUNDAMENTOS E EXPRESSÃO GRÁFICA DE PROJETOS"/>
        <s v="FUNDAMENTOS MATEMÁTICOS DA COMPUTAÇÃO"/>
        <s v="GEOFÍSICA DO PETROLEO"/>
        <s v="GEOTECNIA AMBIENTAL"/>
        <s v="GERENCIAMENTO AMBIENTAL NA EMPRESA"/>
        <s v="GESTÃO DA INOVAÇÃO TECNÓLOGICA"/>
        <s v="GESTÃO DA QUALIDADE"/>
        <s v="GESTÃO DE PESSOAS"/>
        <s v="GESTÃO DE PROJETOS"/>
        <s v="GESTÃO DE RECURSOS HÍDRICOS"/>
        <s v="GESTÃO DE RESÍDUOS SÓLIDOS"/>
        <s v="GOVERNANÇA DE TIC I"/>
        <s v="HIDRÁULICA FLUVIAL"/>
        <s v="HIDROLOGIA"/>
        <s v="HIGIENE INDUSTRIAL E SEGURANÇA DO TRABALHO"/>
        <s v="INOVAÇÃO, EMPREENDORISMO E MODELAGEM DE NEGÓCIOS"/>
        <s v="INSTALACOES ELÉTRICAS INDUSTRIAIS"/>
        <s v="INSTALAÇÕES HIDRÁULICAS E SANITÁRIAS"/>
        <s v="INSTRUMENTAÇÃO"/>
        <s v="INTELIGÊNCIA COMPUTACIONAL APLICADA"/>
        <s v="INTERNET DAS COISAS"/>
        <s v="INTRODUÇÃO A ENG AMBIENTAL"/>
        <s v="INTRODUCAO A ENGENHARIA"/>
        <s v="INTRODUÇÃO A ENGENHARIA AMBIENTAL "/>
        <s v="INTRODUÇÃO A ENGENHARIA SÍSMICA"/>
        <s v="INTRODUÇÃO A ROBÓTICA"/>
        <s v="INTRODUÇÃO A TEORIA DA INFORMAÇÃO"/>
        <s v="INTRODUÇÃO AO PROCESSAMENTO DIGITAL DE IMAGENS"/>
        <s v="LABORATÓRIO DE CIRCUITOS DIGITAIS"/>
        <s v="LABORATÓRIO DE CIRCUITOS ELETRÔNICOS"/>
        <s v="LABORATORIO DE ELETRICIDADE"/>
        <s v="LABORATORIO DE ENERGIAS RENOVÁVEIS"/>
        <s v="LOGÍSTICA DO PETROLEO "/>
        <s v="LOGÍSTICA REVERSA"/>
        <s v="MANUTENÇÃO DE EQUIPAMENTOS INDUSTRIAIS"/>
        <s v="MÁQUINAS DE FLUXO EM PROCESSOS"/>
        <s v="MATERIAIS DE CONSTRUÇÃO E SISTEMAS CONSTRUTIVOS"/>
        <s v="MATERIAIS ELETRÔNICOS E OPTOELETRÔNICOS"/>
        <s v="MECÂNICA DOS FLUIDOS"/>
        <s v="MECÂNICA DOS SOLIDOS"/>
        <s v="MECANICA DOS SOLIDOS EM ENGENHARIA DE ENERGIAS RENOVAVEIS"/>
        <s v="MECANICA DOS SOLIDOS EM ENGENHARIA DE ENERGIAS RENOVÁVEIS"/>
        <s v="MECÂNICA DOS SOLIDOS II"/>
        <s v="MECÂNICA DOS SOLOS I"/>
        <s v="MECÂNICA DOS SOLOS II"/>
        <s v="MECANICA E RESISTENCIA DOS MATERIAIS"/>
        <s v="MECÂNICA E RESISTENCIA DOS MATERIAIS"/>
        <s v="MECÂNICA E RESISTÊNCIA DOS MATERIAIS"/>
        <s v="MECANISMOS HIDRÁULICOS E PNEUMATICOS"/>
        <s v="MERCADO DE ELETRICIDADE"/>
        <s v="MÉTODOS AVANÇADOS PARA PREVISÃO DE DEMANDA"/>
        <s v="MÉTODOS E SISTEMAS DE TRABALHO"/>
        <s v="METODOS NUMERICOS PARA ENGENHARIA"/>
        <s v="MÉTODOS NUMÉRICOS PARA ENGENHARIA"/>
        <s v="MÉTODOS NUMÉRICOS PARA ENGENHARIA "/>
        <s v="METROLOGIA CIENTÍFICA E INDUSTRIAL"/>
        <s v="MICROBIOLOGIA APLICADA"/>
        <s v="MICROPROCESSADORES"/>
        <s v="MODELAGEM E SIMULACAO DE PROCESSOS QUÍMICOS"/>
        <s v="MODELAGEM TENSORIAL"/>
        <s v="MONITORACAO E DIAGNOSTICO DE MÁQUINAS"/>
        <s v="MOTORES TERMICOS"/>
        <s v="OBRAS DE CONTENÇÃO"/>
        <s v="OPERAÇÃO DE SISTEMAS DE TRANSPORTES"/>
        <s v="OPERAÇÕES UNITÁRIAS"/>
        <s v="OPERAÇÕES UNITÁRIAS III"/>
        <s v="PESQUISA OPERACIONAL II"/>
        <s v="PLANEJAMENTO E CONTROLE DA PRODUÇÃO II"/>
        <s v="PLANEJAMENTO ENERGÉTICO"/>
        <s v="PONTES I"/>
        <s v="PRINCIPIOS DE ELETRICIDADE E MAGNETISMO"/>
        <s v="PRINCÍPIOS DE ELETRICIDADE E MAGNETISMO"/>
        <s v="PRINCIPIOS DE ELETRICIIDADE E MAGNETISMO"/>
        <s v="PROBABILIDADE E ESTATÍSTICA"/>
        <s v="PROBABILIDADE E ESTATISTICA PARA ENGENHARIA"/>
        <s v="PROBABILIDADE E ESTATÍSTICA PARA ENGENHARIA"/>
        <s v="PROCESSOS DE FABRICAÇÃO POR FUNDIÇÃO E SOLDAGEM"/>
        <s v="PROCESSOS DE PRODUÇÃO"/>
        <s v="PROCESSOS DE REFINO I"/>
        <s v="PROCESSOS DE TRANSFERÊNCIA DE CALOR I "/>
        <s v="PROCESSOS E REATORES BIOQUÍMICOS"/>
        <s v="PROCESSOS ESTOCÁSTICOS I"/>
        <s v="PROCESSOS QUÍMICOS INDUSTRIAIS"/>
        <s v="PROGRAMAÇÃO COMPUTACIONAL PARA ENGENHARIA"/>
        <s v="PROGRAMAÇÃO ORIENTADA A OBJETOS"/>
        <s v="PROJETO DE GRADUAÇÃO"/>
        <s v="PROJETO INDUSTRIAL"/>
        <s v="PROJETO INTEGRADOR"/>
        <s v="PROJETO INTEGRADOR II"/>
        <s v="PROJETO TEMÁTICO I – SEMANA DE ENGENHARIA AMBIENTAL E SANITÁRIA"/>
        <s v="PROJETOS DE SUBESTAÇÕES EM ALTA TENSÃO"/>
        <s v="PROTECAO DE SISTEMAS ELÉTRICOS DE POTENCIA"/>
        <s v="QUALIDADE DE ENERGIA ELÉTRICA"/>
        <s v="QUÍMICA ANALÍTICA"/>
        <s v="QUIMICA APLICADA"/>
        <s v="QUÍMICA DO PETRÓLEO "/>
        <s v="QUÍMICA INORGÂNICA PARA ENGENHARIA"/>
        <s v="QUÍMICA ORGÂNICA TEÓRICA II"/>
        <s v="RECUPERAÇÃO DE ÁREAS DEGRADADAS"/>
        <s v="REDES DE COMPUTADORES I"/>
        <s v="REDES DE COMUNICAÇÕES"/>
        <s v="REDES ÓPTICAS"/>
        <s v="REFRIGERAÇÃO E CONDICIONAMENTO DE AR"/>
        <s v="SANEAMENTO II"/>
        <s v="SEGURANÇA DE PROCESSOS INDUSTRIAIS"/>
        <s v="SEGURANÇA E SAÚDE OCUPACIONAL"/>
        <s v="SEMINÁRIOS"/>
        <s v="SIMULAÇÃO DE SISTEMAS PRODUTIVOS"/>
        <s v="SINAIS E SISTEMAS"/>
        <s v="SISTEMA DE COMBUSTAO APLICADO A BIOMASS"/>
        <s v="SISTEMAS DE ABASTECIMENTO DE ÁGUA"/>
        <s v="SISTEMAS DE COMUNICAÇÕES DIGITAIS"/>
        <s v="SISTEMAS DE COMUNICAÇÕES VIA RÁDIO"/>
        <s v="SISTEMAS DE ESGOTAMENTO E TRATAMENTO DE ÁGUAS RESIDUÁRIAS"/>
        <s v="SISTEMAS DE INFORMAÇÃO GERENCIAL"/>
        <s v="SISTEMAS DISTRIBUÍDOS"/>
        <s v="SISTEMAS MECANICOS PARA ENERGIA DAS MARÉS"/>
        <s v="SISTEMAS PARTICULADOS"/>
        <s v="SISTEMAS TERMICOS"/>
        <s v="SUPERVISÃO E CONT. DE SIST. ELÉTRICOS DE POTENCIA"/>
        <s v="TÉCNICAS AVANCADAS EM ELETRÔNICA DIGITAL"/>
        <s v="TÉCNICAS DE CONTROLE DIGITAL"/>
        <s v="TERMODINAMICA APLICADA"/>
        <s v="TERMODINAMICA APLICADA AS EEMA"/>
        <s v="TERMODINÂMICA APLICADA AS EEMA "/>
        <s v="TERMODINÂMICA DE PROCESSOS"/>
        <s v="TÓPICOS EM TECNOLOGIA QUÍMICA"/>
        <s v="TÓPICOS ESPECIAIS EM ENGENHARIA DE PRODUÇÃO IV"/>
        <s v="TÓPICOS ESPECIAIS EM ENGENHARIA ELÉTRICA II (REDES DE PETRI)"/>
        <s v="TOPICOS ESPECIAIS EM SISTEMAS DE ENERGIAS RENOVÁVEIS II"/>
        <s v="TOPOGRAFIA"/>
        <s v="TRABALHO FINAL DE CURSO"/>
        <s v="TRANSFERÊNCIA DE CALOR II"/>
        <s v="TRANSMISSÃO DE CALOR E MECANICA DOS FLUIDOS COMPUTACIONAL"/>
        <s v="TRANSMISSAO DE ENERGIA ELÉTRICA"/>
        <s v="TV DIGITAL"/>
        <s v="UTILIDADES INDUSTRIAIS "/>
        <s v="VARIAVEL COMPLEXA"/>
      </sharedItems>
    </cacheField>
    <cacheField name="TURMA" numFmtId="0">
      <sharedItems count="26">
        <s v="TURMA - "/>
        <s v="TURMA -  01A"/>
        <s v="TURMA -  02A"/>
        <s v="TURMA -  04A"/>
        <s v="TURMA -  06A"/>
        <s v="TURMA - 01"/>
        <s v="TURMA - 01A"/>
        <s v="TURMA - 01A "/>
        <s v="TURMA - 01A, 01B"/>
        <s v="TURMA - 02"/>
        <s v="TURMA - 02A"/>
        <s v="TURMA - 02A "/>
        <s v="TURMA - 02B"/>
        <s v="TURMA - 03"/>
        <s v="TURMA - 03A"/>
        <s v="TURMA - 04"/>
        <s v="TURMA - 04A"/>
        <s v="TURMA - 05"/>
        <s v="TURMA - 05A"/>
        <s v="TURMA - 06"/>
        <s v="TURMA - 06A"/>
        <s v="TURMA - 07A"/>
        <s v="TURMA - 07A "/>
        <s v="TURMA - 09A"/>
        <s v="TURMA - 10A"/>
        <s v="TURMA - 1B"/>
      </sharedItems>
    </cacheField>
    <cacheField name="PROFESSOR" numFmtId="0">
      <sharedItems containsBlank="1" count="213">
        <s v="?"/>
        <s v="?:"/>
        <s v="&quot;A DEFINIR&quot;"/>
        <s v="A DEFINIR"/>
        <s v="ABRAÃO"/>
        <s v="ALBERTIN"/>
        <s v="ALBERTO SAMPAIO LIMA (32H)"/>
        <s v="ALBERTO SAMPAIO LIMA (64H)"/>
        <s v="ALEXANDRE DE MIRANDA MONT ALVERNE"/>
        <s v="ALFRAN SAMPAIO MOURA"/>
        <s v="ALFRAN SAMPAIO MOURA E FRANCISCO CHAGAS DA SILVA FILHO"/>
        <s v="ALYSSON"/>
        <s v="AMANDA PEREIRA MONTEIRO"/>
        <s v="ANA BÁRBARA DE ARAÚJO NUNES"/>
        <s v="ANA FABIOLA LEITE ALMEIDA"/>
        <s v="ANA FABÍOLA LEITE ALMEIDA"/>
        <s v="ANA KAROLINNA MAIA DE OLIVEIRA"/>
        <s v="ANA SHIRLEY FERREIRA DA SILVA"/>
        <s v="ANA SHIRLEY FERREIRA DA SILVA (64H)"/>
        <s v="ANDERSON BORGHETTI SOARES E JOSÉ CARLOS ALVES BARROSO JÚNIOR"/>
        <s v="ANDRÉ BEZERRA"/>
        <s v="ANDRÉ BEZERRA DOS SANTOS"/>
        <s v="ANDRE CASIMIRO DE MACEDO"/>
        <s v="ANDRE HENRIQUE BARBOSA DE OLIVEIRA"/>
        <s v="ANDRE LIMA FERRER DE ALMEIDA (64H)"/>
        <s v="ANDRE VALENTE BUENO"/>
        <s v="ANDREA DA SILVA PEREIRA"/>
        <s v="ANSELMO"/>
        <s v="ANTONIO APULO DE HOLLANDA CAVALCANTE"/>
        <s v="ANTONIO IDIVAN VIEIRA NUNES"/>
        <s v="ARTHUR PLINIO DE SOUZA BRAGA"/>
        <s v="ATSLANDS REGO DA ROCHA (64H)"/>
        <s v="AUREA SILVA DE HOLANDA"/>
        <s v="BRENO BARROS"/>
        <s v="BRUNO PRATA"/>
        <s v="CARLA FREITAS DE ANDRADE"/>
        <s v="CARLOS ANDRÉ"/>
        <s v="CARLOS ANDRE DIAS BEZERRA"/>
        <s v="CARLOS AUGUSTO UCHOA DA SILVA"/>
        <s v="CARLOS DAVID RODRIGUES MELO"/>
        <s v="CARLOS GUSTAVO CASTELO BRANCO"/>
        <s v="CELIO LOUREIRO CAVALCANTE JUNIOR"/>
        <s v="CELY MARTINS SANTOS DE ALENCAR"/>
        <s v="CHARLES CASIMIRO CAVALCANTE (32H)"/>
        <s v="CHARLES CASIMIRO CAVALCANTE (64H)"/>
        <s v="CLAUDIA MIRANDA MARTINS"/>
        <s v="CLEITON CARVALHO SILVA"/>
        <s v="CLEITON DA SILVA SILVEIRA (64H)"/>
        <s v="CLEITON DA SILVA SILVEIRA E SAMIRIA MARIA OLIVEIRA DA SILVA"/>
        <s v="CLEON DA SILVA BARROSO"/>
        <s v="CLODOALDO DE OLIVEIRA CARVALHO FILHO"/>
        <s v="DALTON DE ARAUJO HONORIO"/>
        <s v="DALTON HONÓRIO"/>
        <s v="DAVI MONTEIRO DANTAS"/>
        <s v="DEMERCIL DE SOUZA"/>
        <s v="DEMERCIL DE SOUZA OLIVEIRA JUNIOR"/>
        <s v="DIEGO DE SOUSA MADEIRA"/>
        <s v="DOMENICO SGRO"/>
        <s v="ELINEUDO PINHO DE MOURA"/>
        <s v="ELVIO CESAR GIRAUDO"/>
        <s v="ELVIO CESAR GIRAUDO (64H)"/>
        <s v="EMILIO DE CASTRO MIGUEL"/>
        <s v="ERNANI DE SOUSA RIBEIRO JUNIOR"/>
        <s v="ESDRAS SOARES DE MEDEIROS FILHO"/>
        <s v="ESDRAS SOARES DE MEDEIROS FILHO (64H)"/>
        <s v="FABRICIO GONZALEZ NOGUEIRA"/>
        <s v="FABRÍCIO NOGUEIRA"/>
        <s v="FAZAL E ASIM (32H)"/>
        <s v="FAZAL E ASIM (64H)"/>
        <s v="FCO. OSNY"/>
        <s v="FERNANDA LEITE LOBO"/>
        <s v="FERNANDO ANTONIO MOTA TRINTA"/>
        <s v="FERNANDO ANTUNES"/>
        <s v="FERNANDO JOSE ARAUJO DA SILVA"/>
        <s v="FERNANDO JOSÉ ARAÚJO DA SILVA"/>
        <s v="FLAVIO RUBENS DE CARVALHO SOUSA"/>
        <s v="FRANCICLEBER MARTINS FERREIRA E JOAO FERNANDO LIMA ALCANTARA"/>
        <s v="FRANCISCO DE ASSIS DE SOUZA FILHO"/>
        <s v="FRANCISCO ILSON DA SILVA JUNIOR"/>
        <s v="FRANCISCO KLEBER DE ARAUJO LIMA"/>
        <s v="FRANCISCO MAURO TEIXEIRA PEREIRA FILHO"/>
        <s v="FRANCISCO MAURO TEIXEIRA PEREIRA FILHO E FILIPE XAVIER FEITOSA"/>
        <s v="FRANCISCO MAURO TEIXEIRA PEREIRA FILHO E HOSIBERTO BATISTA DE SANTANA"/>
        <s v="FRANCISCO MURILO TAVARES DE LUNA"/>
        <s v="FRANCISCO NIVALDO AGUIAR FREIRE"/>
        <s v="FRANCISCO OSNY ENEAS DA SILVA E TICIANA MARINHO DE CARVALHO STUDART"/>
        <s v="FRANCISCO RODRIGO PORTO CAVALCANTI (64H)"/>
        <s v="FREDERICO VALE GIRAO"/>
        <s v="GABRIELLI HARUMI"/>
        <s v="GABRIELLI HARUMI YAMASHITA"/>
        <s v="GABRIELLY"/>
        <s v="GEORGE ANDRE PEREIRA THE"/>
        <s v="GIANCARLO BEZERRA DO NASCIMENTO COSTA"/>
        <s v="GIOVANNI CORDEIRO BARROSO"/>
        <s v="GISELE AZEVEDO ARAUJO"/>
        <s v="GISELE AZEVEDO DE ARAUJO FREITAS"/>
        <s v="GISELE AZEVEDO DE ARAÚJO FREITAS"/>
        <s v="GLEYDSON CHAVES RICARTE"/>
        <s v="GREGORIO PACELLI FEITOSA BESSA "/>
        <s v="HERÁCLITO JAGUARIBE"/>
        <s v="HILMA HELENA MACEDO DE VASCONCELOS"/>
        <s v="HILMA HELENA MACEDO DE VASCONCELOS (64H)"/>
        <s v="HOSIBERTO BATISTA DE SANTANA"/>
        <s v="IGOR MOACO GUERREIRO (64H)"/>
        <s v="IRAN EDUARDO LIMA NETO"/>
        <s v="IVANILDO JOSE DA SILVA JUNIOR "/>
        <s v="JARBAS ARYEL NUNES DA SILVEIRA (32H)"/>
        <s v="JHONYSON ARRUDA CARVALHO GUEDES"/>
        <s v="JOÃO BATISTA"/>
        <s v="JOAO BATISTA ROSA SILVA (32H)"/>
        <s v="JOAO BATISTA ROSA SILVA (64H)"/>
        <s v="JOAO JOSE HILUY FILHO"/>
        <s v="JOAO WELLIANDRE CARNEIRO ALEXANDRE"/>
        <s v="JOAQUIM MOTA"/>
        <s v="JORGE CARVALHO BRANDAO"/>
        <s v="JORGE CARVALHO BRANDÃO"/>
        <s v="JOSE ALBERTO DUARTE MAIA"/>
        <s v="JOSE ALMEIDA DO NASCIMENTO"/>
        <s v="JOSE ALVES DE LIMA"/>
        <s v="JOSE ALVES DE LIMA JUNIOR (32H)"/>
        <s v="JOSÉ CAPELO NETO"/>
        <s v="JOSÉ CARLOS ALVES BARROSO JÚNIOR"/>
        <s v="JOSE EUCLIDES GOMES DA SILVA"/>
        <s v="JOSE LASSANCE DE CASTRO SILVA"/>
        <s v="JOSE MARCOS SASAKI (64H)"/>
        <s v="JOSE MARIA DA SILVA MONTEIRO FILHO"/>
        <s v="JOSE TARCISIO COSTA FILHO"/>
        <s v="JOSE WALISSON VIEIRA DE SOUSA"/>
        <s v="JUNTAR COM A MECANICA"/>
        <s v="KLEBER LIMA"/>
        <s v="KLEBER ZUZA NOBREGA (32H)"/>
        <s v="LEONARDO BEZERRA"/>
        <s v="LUCAS MELO"/>
        <s v="LUCAS SILVEIRA MELO"/>
        <s v="LUCIANA ROCHA BARROS GONCALVES"/>
        <s v="LUIS GONZAGA RODRIGUES JUNIOR"/>
        <s v="LUIZ HENRIQUE"/>
        <s v="LUIZ HENRIQUE SILVA COLADO BARRETO"/>
        <s v="LUIZ SOARES JUNIOR"/>
        <s v="MACHIDOVEL TRIGUEIRO FILHO"/>
        <s v="MANOEL JOSE DA SILVA NETO"/>
        <s v="MANOEL JOSE DA SILVA NETO (32H)"/>
        <s v="MARCELO MELO"/>
        <s v="MARCELO MIRANDA DE MELO"/>
        <s v="MARCELO MIRANDA DE MELO (32H)"/>
        <s v="MARCOS FERREIRA DE MELO"/>
        <s v="MARCOS FERREIRA DE MELO (64H)"/>
        <s v="MARIA ALEXANDRA"/>
        <s v="MARIA ALEXSANDRA"/>
        <s v="MARIA VALDEREZ PONTE ROCHA"/>
        <s v="MARIANA VELLA SILVEIRA"/>
        <s v="MARIO ANGELO"/>
        <s v="MAXWEEL"/>
        <s v="MENAOUAR BERREHIL"/>
        <s v="MICHELA MULAS"/>
        <s v="MOISES BASTOS NETO"/>
        <s v="MONICA CASTELO GUIMARAES ALBUQUERQUE"/>
        <s v="NADJA GLHEUCA DA SILVA DUTRA MONTENEGRO"/>
        <s v="NARELLE MAIA DE ALMEIDA"/>
        <s v="NATALIA MARIA CORDEIRO BARROSO"/>
        <s v="NATÁLIA MARIA CORDEIRO BARROSO"/>
        <s v="NICOLAS DE ARAUJO MOREIRA"/>
        <s v="NICOLAS DE ARAUJO MOREIRA (32H)"/>
        <s v="PABLO MAYCKON SILVA FARIAS"/>
        <s v="PAULO ALEXANDRE COSTA ROCHA"/>
        <s v="PAULO ANTONIO LEAL REGO"/>
        <s v="PAULO CARVALHO"/>
        <s v="PAULO CESAR CORTEZ"/>
        <s v="PAULO CESAR MARQUES DE CARVALHO"/>
        <s v="PAULO IGOR MILEN FIRMINO"/>
        <s v="PAULO NAFTALI DA SILVA CASCIANO"/>
        <s v="PAULO PEIXOTO PRACA"/>
        <s v="PAULO PRAÇA"/>
        <s v="PEDRO FELIPE GADELHA SILVINO"/>
        <s v="RAIMUNDO FURTADO / LUCAS MELO"/>
        <s v="RAIMUNDO FURTADO SAMPAIO"/>
        <s v="RAPHAEL AMARAL DA CAMARA"/>
        <s v="RAQUEL CRISTINA FILIAGI GREGORY"/>
        <s v="RENAN DA SILVA SANTOS"/>
        <s v="RENATA MENDES LUNA"/>
        <s v="RENE PASTOR TORRICO BASCOPE"/>
        <s v="RILVIA SARAIVA DE SANTIAGO AGUIAR"/>
        <s v="ROBERTO DE ARAUJO BEZERRA"/>
        <s v="ROBSON CARLOS LOUREIRO, FRANCISCO HERBERT LIMA VASCONCELOS"/>
        <s v="RODRIGO SILVEIRA VIEIRA"/>
        <s v="ROGÉRIO"/>
        <s v="ROMULO DO NASCIMENTO RODRIGUES"/>
        <s v="ROMULO NASCIMENTO"/>
        <s v="RONALDO STEFANUTTI"/>
        <s v="RUBENS VIANA RAMOS (64H)"/>
        <s v="RUTH PASTORA SARAIVA LEAO"/>
        <s v="SAMIRIA MARIA OLIVEIRA DA SILVA"/>
        <s v="SAMUEL JORGE MARQUES CARTAXO"/>
        <s v="SEBASTIAO MARDONIO PEREIRA DE LUCENA"/>
        <s v="SERGIO ANTENOR DE CARVALHO (64H)"/>
        <s v="SERGIO ANTENOR DE CARVALHO (96H)"/>
        <s v="SERGIO DAHER"/>
        <s v="SILVRANO"/>
        <s v="SIVRANO"/>
        <s v="TALITA FELIPE"/>
        <s v="TALITA FELIPE DE VASCONCELOS"/>
        <s v="TARCISIO FERREIRA MACIEL (64H)"/>
        <s v="TICIANA MARINHO"/>
        <s v="VANESSA VIEIRA GONÇALVES"/>
        <s v="VICTOR FARIAS MONTEIRO (64H)"/>
        <s v="VITOR MOREIRA DA ROCHA PONTE"/>
        <s v="WALTER DA CRUZ FREITAS JUNIOR (32H)"/>
        <s v="WALTER DA CRUZ FREITAS JUNIOR (64H)"/>
        <s v="WILKLEY BEZERRA CORREIA"/>
        <s v="WILLIAM MAGALHAES BARCELLOS"/>
        <s v="YURI CARVALHO BARBOSA SILVA (32H)"/>
        <s v="YURI CARVALHO BARBOSA SILVA (64H)"/>
        <m/>
      </sharedItems>
    </cacheField>
    <cacheField name="SALA" numFmtId="0">
      <sharedItems containsBlank="1" count="45">
        <s v="707-11"/>
        <s v="707-12"/>
        <s v="707-13"/>
        <s v="707-14"/>
        <s v="707-15"/>
        <s v="707-21"/>
        <s v="707-22"/>
        <s v="707-23"/>
        <s v="707-24"/>
        <s v="707-25"/>
        <s v="707-31"/>
        <s v="707-32"/>
        <s v="707-33"/>
        <s v="707-35"/>
        <s v="707-37"/>
        <s v="707-41"/>
        <s v="707-42"/>
        <s v="707-44"/>
        <s v="707-45"/>
        <s v="707-46"/>
        <s v="707-47"/>
        <s v="707-51"/>
        <s v="707-52"/>
        <s v="707-55"/>
        <s v="707-57"/>
        <s v="717-11"/>
        <s v="717-12"/>
        <s v="726-11"/>
        <s v="726-12"/>
        <s v="726-13"/>
        <s v="726-14"/>
        <s v="726-15"/>
        <s v="726-16"/>
        <s v="726-17"/>
        <s v="726-18"/>
        <s v="726-19"/>
        <s v="727-11"/>
        <s v="727-12"/>
        <s v="727-13"/>
        <s v="727-14"/>
        <s v="727-21 "/>
        <s v="727-22"/>
        <s v="LACT 2 (LACG)"/>
        <s v="LACT 3"/>
        <m/>
      </sharedItems>
    </cacheField>
    <cacheField name="DIAS" numFmtId="0">
      <sharedItems containsBlank="1" count="15">
        <s v="QUARTA"/>
        <s v="QUARTA SEXTA"/>
        <s v="QUINTA"/>
        <s v="QUINTA SEXTA"/>
        <s v="SÁBADO"/>
        <s v="SEGUNDA"/>
        <s v="SEGUNDA QUARTA"/>
        <s v="SEGUNDA QUARTA SEXTA"/>
        <s v="SEGUNDA QUINTA"/>
        <s v="SEGUNDA SEXTA"/>
        <s v="SEXTA"/>
        <s v="TERÇA"/>
        <s v="TERÇA QUINTA"/>
        <s v="TERÇA SEXTA"/>
        <m/>
      </sharedItems>
    </cacheField>
    <cacheField name="HORARIO INICIO" numFmtId="0">
      <sharedItems containsDate="1" containsBlank="1" containsMixedTypes="1" minDate="1899-12-30T07:00:00" maxDate="1899-12-31T14:00:00" count="22">
        <d v="1899-12-30T07:00:00"/>
        <d v="1899-12-30T08:00:00"/>
        <d v="1899-12-30T09:00:00"/>
        <d v="1899-12-30T10:00:00"/>
        <d v="1899-12-30T12:00:00"/>
        <d v="1899-12-30T13:00:00"/>
        <d v="1899-12-30T14:00:00"/>
        <d v="1899-12-30T15:00:00"/>
        <d v="1899-12-30T16:00:00"/>
        <d v="1899-12-30T18:00:00"/>
        <d v="1899-12-30T18:30:00"/>
        <d v="1899-12-30T20:00:00"/>
        <d v="1899-12-31T08:00:00"/>
        <d v="1899-12-31T10:00:00"/>
        <d v="1899-12-31T14:00:00"/>
        <s v="08:00"/>
        <s v="10:00"/>
        <s v="12:00"/>
        <s v="14:00"/>
        <s v="16:00"/>
        <s v="18:00"/>
        <m/>
      </sharedItems>
    </cacheField>
    <cacheField name="HORARIO FINAL" numFmtId="0">
      <sharedItems containsDate="1" containsBlank="1" containsMixedTypes="1" minDate="1899-12-30T09:00:00" maxDate="1899-12-31T16:00:00" count="24"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20:00:00"/>
        <d v="1899-12-30T20:30:00"/>
        <d v="1899-12-30T22:00:00"/>
        <d v="1899-12-31T10:00:00"/>
        <d v="1899-12-31T12:00:00"/>
        <d v="1899-12-31T13:00:00"/>
        <d v="1899-12-31T16:00:00"/>
        <s v="10:00"/>
        <s v="12:00"/>
        <s v="14:00"/>
        <s v="16:00"/>
        <s v="18:00"/>
        <s v="20:00"/>
        <m/>
      </sharedItems>
    </cacheField>
    <cacheField name="ALUNOS" numFmtId="0">
      <sharedItems containsMixedTypes="1" containsNumber="1" containsInteger="1" minValue="0" maxValue="582" count="6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4"/>
        <n v="35"/>
        <n v="36"/>
        <n v="37"/>
        <n v="38"/>
        <n v="39"/>
        <n v="40"/>
        <n v="41"/>
        <n v="42"/>
        <n v="44"/>
        <n v="45"/>
        <n v="48"/>
        <n v="50"/>
        <n v="53"/>
        <n v="54"/>
        <n v="55"/>
        <n v="56"/>
        <n v="57"/>
        <n v="58"/>
        <n v="60"/>
        <n v="61"/>
        <n v="62"/>
        <n v="64"/>
        <n v="65"/>
        <n v="69"/>
        <n v="72"/>
        <n v="582"/>
        <e v="#N/DISP"/>
      </sharedItems>
    </cacheField>
    <cacheField name="DIAS_PADRONIZADOS" numFmtId="0">
      <sharedItems containsBlank="1" count="17">
        <s v="BLOCO 927-LABORATORIO DE ELETRICIDADE"/>
        <s v="NÃO"/>
        <s v="QUARTA"/>
        <s v="QUARTA SEXTA"/>
        <s v="QUINTA"/>
        <s v="QUINTA SEXTA"/>
        <s v="SÁBADO"/>
        <s v="SEGUNDA"/>
        <s v="SEGUNDA QUARTA"/>
        <s v="SEGUNDA QUARTA SEXTA"/>
        <s v="SEGUNDA QUINTA"/>
        <s v="SEGUNDA SEXTA"/>
        <s v="SEXTA"/>
        <s v="SIM"/>
        <s v="TERÇA"/>
        <s v="TERÇA QUINTA"/>
        <m/>
      </sharedItems>
    </cacheField>
    <cacheField name="HORARIOS" numFmtId="0">
      <sharedItems count="22">
        <s v="07:00:00-08:00:00, 08:00:00-09:00:00, 09:00:00-10:00:00"/>
        <s v="08:00:00-09:00:00"/>
        <s v="08:00:00-09:00:00, 09:00:00-10:00:00"/>
        <s v="08:00:00-09:00:00, 09:00:00-10:00:00, 10:00:00-11:00:00"/>
        <s v="08:00:00-09:00:00, 09:00:00-10:00:00, 10:00:00-11:00:00, 11:00:00-12:00:00"/>
        <s v="09:00:00-10:00:00, 10:00:00-11:00:00, 11:00:00-12:00:00"/>
        <s v="10:00:00-11:00:00, 11:00:00-12:00:00"/>
        <s v="10:00:00-11:00:00, 11:00:00-12:00:00, 12:00:00-13:00:00"/>
        <s v="12:00:00-13:00:00, 13:00:00-14:00:00"/>
        <s v="13:00:00-14:00:00, 14:00:00-15:00:00, 15:00:00-16:00:00"/>
        <s v="14:00:00-15:00:00"/>
        <s v="14:00:00-15:00:00, 15:00:00-16:00:00"/>
        <s v="14:00:00-15:00:00, 15:00:00-16:00:00, 16:00:00-17:00:00"/>
        <s v="14:00:00-15:00:00, 15:00:00-16:00:00, 16:00:00-17:00:00, 17:00:00-18:00:00"/>
        <s v="15:00:00-16:00:00"/>
        <s v="16:00:00-17:00:00"/>
        <s v="16:00:00-17:00:00, 17:00:00-18:00:00"/>
        <s v="16:00:00-17:00:00, 17:00:00-18:00:00, 18:00:00-19:00:00, 19:00:00-20:00:00"/>
        <s v="18:00:00-19:00:00, 19:00:00-20:00:00"/>
        <s v="18:30:00-19:30:00, 19:30:00-20:30:00"/>
        <s v="20:00:00-21:00:00, 21:00:00-22:00:00"/>
        <e v="Erro:5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">
  <r>
    <x v="0"/>
    <x v="236"/>
    <x v="22"/>
    <x v="5"/>
    <x v="160"/>
    <x v="0"/>
    <x v="5"/>
    <x v="3"/>
    <x v="3"/>
    <x v="49"/>
    <x v="7"/>
    <x v="6"/>
  </r>
  <r>
    <x v="0"/>
    <x v="234"/>
    <x v="111"/>
    <x v="6"/>
    <x v="143"/>
    <x v="0"/>
    <x v="6"/>
    <x v="6"/>
    <x v="7"/>
    <x v="29"/>
    <x v="8"/>
    <x v="11"/>
  </r>
  <r>
    <x v="0"/>
    <x v="239"/>
    <x v="37"/>
    <x v="16"/>
    <x v="115"/>
    <x v="0"/>
    <x v="12"/>
    <x v="3"/>
    <x v="3"/>
    <x v="40"/>
    <x v="15"/>
    <x v="6"/>
  </r>
  <r>
    <x v="2"/>
    <x v="29"/>
    <x v="203"/>
    <x v="6"/>
    <x v="71"/>
    <x v="0"/>
    <x v="6"/>
    <x v="6"/>
    <x v="7"/>
    <x v="53"/>
    <x v="8"/>
    <x v="11"/>
  </r>
  <r>
    <x v="2"/>
    <x v="5"/>
    <x v="20"/>
    <x v="14"/>
    <x v="127"/>
    <x v="0"/>
    <x v="9"/>
    <x v="3"/>
    <x v="3"/>
    <x v="49"/>
    <x v="11"/>
    <x v="6"/>
  </r>
  <r>
    <x v="2"/>
    <x v="234"/>
    <x v="111"/>
    <x v="16"/>
    <x v="89"/>
    <x v="0"/>
    <x v="11"/>
    <x v="1"/>
    <x v="1"/>
    <x v="29"/>
    <x v="14"/>
    <x v="2"/>
  </r>
  <r>
    <x v="2"/>
    <x v="12"/>
    <x v="114"/>
    <x v="20"/>
    <x v="212"/>
    <x v="0"/>
    <x v="12"/>
    <x v="1"/>
    <x v="1"/>
    <x v="43"/>
    <x v="15"/>
    <x v="2"/>
  </r>
  <r>
    <x v="2"/>
    <x v="195"/>
    <x v="44"/>
    <x v="6"/>
    <x v="91"/>
    <x v="0"/>
    <x v="12"/>
    <x v="1"/>
    <x v="1"/>
    <x v="48"/>
    <x v="15"/>
    <x v="2"/>
  </r>
  <r>
    <x v="3"/>
    <x v="71"/>
    <x v="224"/>
    <x v="6"/>
    <x v="179"/>
    <x v="0"/>
    <x v="0"/>
    <x v="3"/>
    <x v="3"/>
    <x v="42"/>
    <x v="2"/>
    <x v="6"/>
  </r>
  <r>
    <x v="3"/>
    <x v="234"/>
    <x v="111"/>
    <x v="18"/>
    <x v="212"/>
    <x v="0"/>
    <x v="0"/>
    <x v="3"/>
    <x v="3"/>
    <x v="29"/>
    <x v="2"/>
    <x v="6"/>
  </r>
  <r>
    <x v="3"/>
    <x v="71"/>
    <x v="224"/>
    <x v="14"/>
    <x v="179"/>
    <x v="0"/>
    <x v="5"/>
    <x v="3"/>
    <x v="3"/>
    <x v="42"/>
    <x v="7"/>
    <x v="6"/>
  </r>
  <r>
    <x v="3"/>
    <x v="12"/>
    <x v="114"/>
    <x v="16"/>
    <x v="93"/>
    <x v="0"/>
    <x v="6"/>
    <x v="8"/>
    <x v="9"/>
    <x v="43"/>
    <x v="8"/>
    <x v="16"/>
  </r>
  <r>
    <x v="3"/>
    <x v="239"/>
    <x v="37"/>
    <x v="6"/>
    <x v="32"/>
    <x v="0"/>
    <x v="6"/>
    <x v="1"/>
    <x v="1"/>
    <x v="40"/>
    <x v="8"/>
    <x v="2"/>
  </r>
  <r>
    <x v="3"/>
    <x v="239"/>
    <x v="37"/>
    <x v="10"/>
    <x v="32"/>
    <x v="0"/>
    <x v="6"/>
    <x v="6"/>
    <x v="7"/>
    <x v="40"/>
    <x v="8"/>
    <x v="11"/>
  </r>
  <r>
    <x v="3"/>
    <x v="1"/>
    <x v="256"/>
    <x v="10"/>
    <x v="116"/>
    <x v="0"/>
    <x v="6"/>
    <x v="3"/>
    <x v="3"/>
    <x v="49"/>
    <x v="8"/>
    <x v="6"/>
  </r>
  <r>
    <x v="3"/>
    <x v="1"/>
    <x v="256"/>
    <x v="14"/>
    <x v="145"/>
    <x v="0"/>
    <x v="6"/>
    <x v="8"/>
    <x v="9"/>
    <x v="49"/>
    <x v="8"/>
    <x v="16"/>
  </r>
  <r>
    <x v="3"/>
    <x v="234"/>
    <x v="111"/>
    <x v="21"/>
    <x v="212"/>
    <x v="0"/>
    <x v="10"/>
    <x v="1"/>
    <x v="1"/>
    <x v="29"/>
    <x v="12"/>
    <x v="2"/>
  </r>
  <r>
    <x v="3"/>
    <x v="12"/>
    <x v="114"/>
    <x v="14"/>
    <x v="53"/>
    <x v="0"/>
    <x v="12"/>
    <x v="1"/>
    <x v="1"/>
    <x v="43"/>
    <x v="15"/>
    <x v="2"/>
  </r>
  <r>
    <x v="3"/>
    <x v="1"/>
    <x v="256"/>
    <x v="16"/>
    <x v="63"/>
    <x v="0"/>
    <x v="12"/>
    <x v="6"/>
    <x v="7"/>
    <x v="49"/>
    <x v="15"/>
    <x v="11"/>
  </r>
  <r>
    <x v="4"/>
    <x v="239"/>
    <x v="36"/>
    <x v="18"/>
    <x v="8"/>
    <x v="0"/>
    <x v="6"/>
    <x v="8"/>
    <x v="9"/>
    <x v="40"/>
    <x v="16"/>
    <x v="16"/>
  </r>
  <r>
    <x v="4"/>
    <x v="234"/>
    <x v="111"/>
    <x v="10"/>
    <x v="212"/>
    <x v="0"/>
    <x v="10"/>
    <x v="6"/>
    <x v="7"/>
    <x v="29"/>
    <x v="16"/>
    <x v="11"/>
  </r>
  <r>
    <x v="4"/>
    <x v="236"/>
    <x v="21"/>
    <x v="9"/>
    <x v="159"/>
    <x v="0"/>
    <x v="12"/>
    <x v="8"/>
    <x v="9"/>
    <x v="49"/>
    <x v="16"/>
    <x v="16"/>
  </r>
  <r>
    <x v="4"/>
    <x v="236"/>
    <x v="21"/>
    <x v="9"/>
    <x v="159"/>
    <x v="0"/>
    <x v="12"/>
    <x v="8"/>
    <x v="9"/>
    <x v="49"/>
    <x v="16"/>
    <x v="16"/>
  </r>
  <r>
    <x v="5"/>
    <x v="239"/>
    <x v="37"/>
    <x v="0"/>
    <x v="212"/>
    <x v="0"/>
    <x v="6"/>
    <x v="6"/>
    <x v="7"/>
    <x v="40"/>
    <x v="16"/>
    <x v="11"/>
  </r>
  <r>
    <x v="5"/>
    <x v="5"/>
    <x v="20"/>
    <x v="0"/>
    <x v="212"/>
    <x v="0"/>
    <x v="12"/>
    <x v="8"/>
    <x v="9"/>
    <x v="49"/>
    <x v="16"/>
    <x v="16"/>
  </r>
  <r>
    <x v="6"/>
    <x v="234"/>
    <x v="111"/>
    <x v="4"/>
    <x v="3"/>
    <x v="0"/>
    <x v="0"/>
    <x v="8"/>
    <x v="9"/>
    <x v="29"/>
    <x v="1"/>
    <x v="16"/>
  </r>
  <r>
    <x v="6"/>
    <x v="71"/>
    <x v="224"/>
    <x v="2"/>
    <x v="179"/>
    <x v="0"/>
    <x v="5"/>
    <x v="6"/>
    <x v="7"/>
    <x v="42"/>
    <x v="1"/>
    <x v="11"/>
  </r>
  <r>
    <x v="7"/>
    <x v="236"/>
    <x v="22"/>
    <x v="5"/>
    <x v="159"/>
    <x v="0"/>
    <x v="12"/>
    <x v="3"/>
    <x v="3"/>
    <x v="49"/>
    <x v="16"/>
    <x v="6"/>
  </r>
  <r>
    <x v="9"/>
    <x v="5"/>
    <x v="19"/>
    <x v="0"/>
    <x v="212"/>
    <x v="0"/>
    <x v="12"/>
    <x v="8"/>
    <x v="9"/>
    <x v="49"/>
    <x v="16"/>
    <x v="16"/>
  </r>
  <r>
    <x v="9"/>
    <x v="213"/>
    <x v="85"/>
    <x v="0"/>
    <x v="152"/>
    <x v="0"/>
    <x v="12"/>
    <x v="8"/>
    <x v="9"/>
    <x v="45"/>
    <x v="16"/>
    <x v="16"/>
  </r>
  <r>
    <x v="9"/>
    <x v="217"/>
    <x v="99"/>
    <x v="0"/>
    <x v="152"/>
    <x v="0"/>
    <x v="12"/>
    <x v="9"/>
    <x v="10"/>
    <x v="30"/>
    <x v="16"/>
    <x v="18"/>
  </r>
  <r>
    <x v="10"/>
    <x v="239"/>
    <x v="37"/>
    <x v="14"/>
    <x v="114"/>
    <x v="0"/>
    <x v="6"/>
    <x v="1"/>
    <x v="1"/>
    <x v="40"/>
    <x v="16"/>
    <x v="2"/>
  </r>
  <r>
    <x v="11"/>
    <x v="12"/>
    <x v="114"/>
    <x v="18"/>
    <x v="124"/>
    <x v="0"/>
    <x v="5"/>
    <x v="8"/>
    <x v="9"/>
    <x v="43"/>
    <x v="16"/>
    <x v="16"/>
  </r>
  <r>
    <x v="11"/>
    <x v="234"/>
    <x v="111"/>
    <x v="14"/>
    <x v="144"/>
    <x v="0"/>
    <x v="10"/>
    <x v="19"/>
    <x v="21"/>
    <x v="29"/>
    <x v="16"/>
    <x v="16"/>
  </r>
  <r>
    <x v="11"/>
    <x v="1"/>
    <x v="256"/>
    <x v="16"/>
    <x v="64"/>
    <x v="0"/>
    <x v="12"/>
    <x v="18"/>
    <x v="20"/>
    <x v="49"/>
    <x v="16"/>
    <x v="11"/>
  </r>
  <r>
    <x v="2"/>
    <x v="54"/>
    <x v="133"/>
    <x v="5"/>
    <x v="179"/>
    <x v="1"/>
    <x v="11"/>
    <x v="3"/>
    <x v="3"/>
    <x v="27"/>
    <x v="14"/>
    <x v="6"/>
  </r>
  <r>
    <x v="3"/>
    <x v="3"/>
    <x v="20"/>
    <x v="6"/>
    <x v="62"/>
    <x v="1"/>
    <x v="12"/>
    <x v="1"/>
    <x v="1"/>
    <x v="52"/>
    <x v="15"/>
    <x v="2"/>
  </r>
  <r>
    <x v="3"/>
    <x v="3"/>
    <x v="20"/>
    <x v="10"/>
    <x v="62"/>
    <x v="1"/>
    <x v="12"/>
    <x v="6"/>
    <x v="7"/>
    <x v="52"/>
    <x v="15"/>
    <x v="11"/>
  </r>
  <r>
    <x v="3"/>
    <x v="3"/>
    <x v="20"/>
    <x v="14"/>
    <x v="178"/>
    <x v="1"/>
    <x v="12"/>
    <x v="8"/>
    <x v="9"/>
    <x v="52"/>
    <x v="15"/>
    <x v="16"/>
  </r>
  <r>
    <x v="5"/>
    <x v="11"/>
    <x v="113"/>
    <x v="0"/>
    <x v="212"/>
    <x v="1"/>
    <x v="6"/>
    <x v="8"/>
    <x v="9"/>
    <x v="52"/>
    <x v="16"/>
    <x v="16"/>
  </r>
  <r>
    <x v="5"/>
    <x v="27"/>
    <x v="202"/>
    <x v="0"/>
    <x v="212"/>
    <x v="1"/>
    <x v="12"/>
    <x v="3"/>
    <x v="3"/>
    <x v="52"/>
    <x v="16"/>
    <x v="6"/>
  </r>
  <r>
    <x v="6"/>
    <x v="151"/>
    <x v="75"/>
    <x v="2"/>
    <x v="176"/>
    <x v="1"/>
    <x v="5"/>
    <x v="3"/>
    <x v="3"/>
    <x v="52"/>
    <x v="1"/>
    <x v="6"/>
  </r>
  <r>
    <x v="6"/>
    <x v="27"/>
    <x v="202"/>
    <x v="2"/>
    <x v="163"/>
    <x v="1"/>
    <x v="6"/>
    <x v="6"/>
    <x v="7"/>
    <x v="52"/>
    <x v="1"/>
    <x v="11"/>
  </r>
  <r>
    <x v="6"/>
    <x v="3"/>
    <x v="20"/>
    <x v="3"/>
    <x v="49"/>
    <x v="1"/>
    <x v="12"/>
    <x v="8"/>
    <x v="9"/>
    <x v="52"/>
    <x v="1"/>
    <x v="16"/>
  </r>
  <r>
    <x v="6"/>
    <x v="11"/>
    <x v="113"/>
    <x v="2"/>
    <x v="3"/>
    <x v="1"/>
    <x v="12"/>
    <x v="1"/>
    <x v="1"/>
    <x v="52"/>
    <x v="1"/>
    <x v="2"/>
  </r>
  <r>
    <x v="9"/>
    <x v="223"/>
    <x v="196"/>
    <x v="0"/>
    <x v="212"/>
    <x v="1"/>
    <x v="1"/>
    <x v="1"/>
    <x v="1"/>
    <x v="52"/>
    <x v="16"/>
    <x v="2"/>
  </r>
  <r>
    <x v="9"/>
    <x v="151"/>
    <x v="75"/>
    <x v="0"/>
    <x v="212"/>
    <x v="1"/>
    <x v="5"/>
    <x v="8"/>
    <x v="9"/>
    <x v="52"/>
    <x v="16"/>
    <x v="16"/>
  </r>
  <r>
    <x v="9"/>
    <x v="11"/>
    <x v="113"/>
    <x v="0"/>
    <x v="212"/>
    <x v="1"/>
    <x v="6"/>
    <x v="8"/>
    <x v="9"/>
    <x v="52"/>
    <x v="16"/>
    <x v="16"/>
  </r>
  <r>
    <x v="10"/>
    <x v="3"/>
    <x v="20"/>
    <x v="20"/>
    <x v="87"/>
    <x v="1"/>
    <x v="6"/>
    <x v="3"/>
    <x v="3"/>
    <x v="52"/>
    <x v="16"/>
    <x v="6"/>
  </r>
  <r>
    <x v="10"/>
    <x v="3"/>
    <x v="20"/>
    <x v="21"/>
    <x v="98"/>
    <x v="1"/>
    <x v="6"/>
    <x v="13"/>
    <x v="14"/>
    <x v="52"/>
    <x v="16"/>
    <x v="6"/>
  </r>
  <r>
    <x v="10"/>
    <x v="11"/>
    <x v="113"/>
    <x v="16"/>
    <x v="212"/>
    <x v="1"/>
    <x v="12"/>
    <x v="12"/>
    <x v="13"/>
    <x v="52"/>
    <x v="16"/>
    <x v="2"/>
  </r>
  <r>
    <x v="11"/>
    <x v="3"/>
    <x v="20"/>
    <x v="18"/>
    <x v="18"/>
    <x v="1"/>
    <x v="12"/>
    <x v="19"/>
    <x v="21"/>
    <x v="52"/>
    <x v="16"/>
    <x v="16"/>
  </r>
  <r>
    <x v="11"/>
    <x v="206"/>
    <x v="130"/>
    <x v="6"/>
    <x v="7"/>
    <x v="1"/>
    <x v="12"/>
    <x v="9"/>
    <x v="10"/>
    <x v="28"/>
    <x v="16"/>
    <x v="18"/>
  </r>
  <r>
    <x v="2"/>
    <x v="180"/>
    <x v="227"/>
    <x v="5"/>
    <x v="126"/>
    <x v="2"/>
    <x v="12"/>
    <x v="3"/>
    <x v="3"/>
    <x v="44"/>
    <x v="15"/>
    <x v="6"/>
  </r>
  <r>
    <x v="2"/>
    <x v="188"/>
    <x v="227"/>
    <x v="6"/>
    <x v="126"/>
    <x v="2"/>
    <x v="12"/>
    <x v="3"/>
    <x v="3"/>
    <x v="5"/>
    <x v="15"/>
    <x v="6"/>
  </r>
  <r>
    <x v="3"/>
    <x v="154"/>
    <x v="43"/>
    <x v="6"/>
    <x v="208"/>
    <x v="2"/>
    <x v="5"/>
    <x v="1"/>
    <x v="1"/>
    <x v="45"/>
    <x v="7"/>
    <x v="2"/>
  </r>
  <r>
    <x v="3"/>
    <x v="154"/>
    <x v="43"/>
    <x v="6"/>
    <x v="208"/>
    <x v="2"/>
    <x v="10"/>
    <x v="3"/>
    <x v="3"/>
    <x v="45"/>
    <x v="12"/>
    <x v="6"/>
  </r>
  <r>
    <x v="3"/>
    <x v="154"/>
    <x v="43"/>
    <x v="10"/>
    <x v="51"/>
    <x v="2"/>
    <x v="5"/>
    <x v="6"/>
    <x v="7"/>
    <x v="45"/>
    <x v="7"/>
    <x v="11"/>
  </r>
  <r>
    <x v="3"/>
    <x v="154"/>
    <x v="43"/>
    <x v="10"/>
    <x v="51"/>
    <x v="2"/>
    <x v="10"/>
    <x v="8"/>
    <x v="9"/>
    <x v="45"/>
    <x v="12"/>
    <x v="16"/>
  </r>
  <r>
    <x v="3"/>
    <x v="155"/>
    <x v="176"/>
    <x v="6"/>
    <x v="137"/>
    <x v="2"/>
    <x v="12"/>
    <x v="1"/>
    <x v="1"/>
    <x v="40"/>
    <x v="15"/>
    <x v="2"/>
  </r>
  <r>
    <x v="3"/>
    <x v="155"/>
    <x v="176"/>
    <x v="10"/>
    <x v="30"/>
    <x v="2"/>
    <x v="12"/>
    <x v="6"/>
    <x v="7"/>
    <x v="40"/>
    <x v="15"/>
    <x v="11"/>
  </r>
  <r>
    <x v="5"/>
    <x v="76"/>
    <x v="158"/>
    <x v="0"/>
    <x v="140"/>
    <x v="2"/>
    <x v="1"/>
    <x v="6"/>
    <x v="7"/>
    <x v="50"/>
    <x v="16"/>
    <x v="11"/>
  </r>
  <r>
    <x v="9"/>
    <x v="221"/>
    <x v="32"/>
    <x v="0"/>
    <x v="99"/>
    <x v="2"/>
    <x v="0"/>
    <x v="9"/>
    <x v="10"/>
    <x v="32"/>
    <x v="16"/>
    <x v="18"/>
  </r>
  <r>
    <x v="9"/>
    <x v="76"/>
    <x v="158"/>
    <x v="0"/>
    <x v="212"/>
    <x v="2"/>
    <x v="1"/>
    <x v="6"/>
    <x v="7"/>
    <x v="50"/>
    <x v="16"/>
    <x v="11"/>
  </r>
  <r>
    <x v="9"/>
    <x v="216"/>
    <x v="233"/>
    <x v="0"/>
    <x v="99"/>
    <x v="2"/>
    <x v="6"/>
    <x v="8"/>
    <x v="9"/>
    <x v="42"/>
    <x v="16"/>
    <x v="16"/>
  </r>
  <r>
    <x v="9"/>
    <x v="215"/>
    <x v="125"/>
    <x v="0"/>
    <x v="5"/>
    <x v="2"/>
    <x v="12"/>
    <x v="6"/>
    <x v="7"/>
    <x v="52"/>
    <x v="16"/>
    <x v="11"/>
  </r>
  <r>
    <x v="9"/>
    <x v="226"/>
    <x v="186"/>
    <x v="0"/>
    <x v="5"/>
    <x v="2"/>
    <x v="12"/>
    <x v="8"/>
    <x v="9"/>
    <x v="51"/>
    <x v="16"/>
    <x v="16"/>
  </r>
  <r>
    <x v="11"/>
    <x v="199"/>
    <x v="42"/>
    <x v="6"/>
    <x v="106"/>
    <x v="2"/>
    <x v="10"/>
    <x v="15"/>
    <x v="17"/>
    <x v="41"/>
    <x v="16"/>
    <x v="2"/>
  </r>
  <r>
    <x v="11"/>
    <x v="180"/>
    <x v="227"/>
    <x v="9"/>
    <x v="103"/>
    <x v="2"/>
    <x v="12"/>
    <x v="16"/>
    <x v="18"/>
    <x v="44"/>
    <x v="16"/>
    <x v="6"/>
  </r>
  <r>
    <x v="2"/>
    <x v="26"/>
    <x v="48"/>
    <x v="6"/>
    <x v="16"/>
    <x v="3"/>
    <x v="6"/>
    <x v="1"/>
    <x v="1"/>
    <x v="48"/>
    <x v="8"/>
    <x v="2"/>
  </r>
  <r>
    <x v="4"/>
    <x v="212"/>
    <x v="108"/>
    <x v="5"/>
    <x v="88"/>
    <x v="3"/>
    <x v="10"/>
    <x v="6"/>
    <x v="7"/>
    <x v="45"/>
    <x v="16"/>
    <x v="11"/>
  </r>
  <r>
    <x v="4"/>
    <x v="2"/>
    <x v="18"/>
    <x v="5"/>
    <x v="17"/>
    <x v="3"/>
    <x v="12"/>
    <x v="9"/>
    <x v="10"/>
    <x v="45"/>
    <x v="16"/>
    <x v="18"/>
  </r>
  <r>
    <x v="6"/>
    <x v="13"/>
    <x v="115"/>
    <x v="2"/>
    <x v="3"/>
    <x v="3"/>
    <x v="12"/>
    <x v="3"/>
    <x v="3"/>
    <x v="52"/>
    <x v="1"/>
    <x v="6"/>
  </r>
  <r>
    <x v="6"/>
    <x v="6"/>
    <x v="87"/>
    <x v="2"/>
    <x v="97"/>
    <x v="3"/>
    <x v="12"/>
    <x v="8"/>
    <x v="9"/>
    <x v="56"/>
    <x v="1"/>
    <x v="16"/>
  </r>
  <r>
    <x v="7"/>
    <x v="212"/>
    <x v="110"/>
    <x v="5"/>
    <x v="89"/>
    <x v="3"/>
    <x v="10"/>
    <x v="6"/>
    <x v="7"/>
    <x v="45"/>
    <x v="16"/>
    <x v="11"/>
  </r>
  <r>
    <x v="9"/>
    <x v="6"/>
    <x v="86"/>
    <x v="0"/>
    <x v="212"/>
    <x v="3"/>
    <x v="1"/>
    <x v="8"/>
    <x v="9"/>
    <x v="56"/>
    <x v="16"/>
    <x v="16"/>
  </r>
  <r>
    <x v="9"/>
    <x v="28"/>
    <x v="38"/>
    <x v="0"/>
    <x v="212"/>
    <x v="3"/>
    <x v="6"/>
    <x v="6"/>
    <x v="7"/>
    <x v="55"/>
    <x v="16"/>
    <x v="11"/>
  </r>
  <r>
    <x v="9"/>
    <x v="13"/>
    <x v="115"/>
    <x v="0"/>
    <x v="212"/>
    <x v="3"/>
    <x v="12"/>
    <x v="3"/>
    <x v="3"/>
    <x v="52"/>
    <x v="16"/>
    <x v="6"/>
  </r>
  <r>
    <x v="9"/>
    <x v="225"/>
    <x v="170"/>
    <x v="0"/>
    <x v="33"/>
    <x v="3"/>
    <x v="12"/>
    <x v="6"/>
    <x v="7"/>
    <x v="57"/>
    <x v="16"/>
    <x v="11"/>
  </r>
  <r>
    <x v="9"/>
    <x v="229"/>
    <x v="206"/>
    <x v="0"/>
    <x v="33"/>
    <x v="3"/>
    <x v="12"/>
    <x v="8"/>
    <x v="9"/>
    <x v="10"/>
    <x v="16"/>
    <x v="16"/>
  </r>
  <r>
    <x v="9"/>
    <x v="231"/>
    <x v="126"/>
    <x v="0"/>
    <x v="212"/>
    <x v="3"/>
    <x v="12"/>
    <x v="11"/>
    <x v="12"/>
    <x v="28"/>
    <x v="16"/>
    <x v="20"/>
  </r>
  <r>
    <x v="0"/>
    <x v="237"/>
    <x v="194"/>
    <x v="9"/>
    <x v="2"/>
    <x v="4"/>
    <x v="0"/>
    <x v="8"/>
    <x v="9"/>
    <x v="43"/>
    <x v="2"/>
    <x v="16"/>
  </r>
  <r>
    <x v="4"/>
    <x v="237"/>
    <x v="192"/>
    <x v="9"/>
    <x v="212"/>
    <x v="4"/>
    <x v="12"/>
    <x v="8"/>
    <x v="9"/>
    <x v="43"/>
    <x v="16"/>
    <x v="16"/>
  </r>
  <r>
    <x v="4"/>
    <x v="93"/>
    <x v="59"/>
    <x v="10"/>
    <x v="128"/>
    <x v="4"/>
    <x v="12"/>
    <x v="3"/>
    <x v="3"/>
    <x v="29"/>
    <x v="16"/>
    <x v="6"/>
  </r>
  <r>
    <x v="4"/>
    <x v="237"/>
    <x v="193"/>
    <x v="0"/>
    <x v="212"/>
    <x v="4"/>
    <x v="14"/>
    <x v="21"/>
    <x v="23"/>
    <x v="43"/>
    <x v="16"/>
    <x v="21"/>
  </r>
  <r>
    <x v="5"/>
    <x v="93"/>
    <x v="60"/>
    <x v="0"/>
    <x v="70"/>
    <x v="4"/>
    <x v="6"/>
    <x v="3"/>
    <x v="3"/>
    <x v="29"/>
    <x v="16"/>
    <x v="6"/>
  </r>
  <r>
    <x v="10"/>
    <x v="237"/>
    <x v="194"/>
    <x v="5"/>
    <x v="212"/>
    <x v="4"/>
    <x v="12"/>
    <x v="6"/>
    <x v="7"/>
    <x v="43"/>
    <x v="16"/>
    <x v="11"/>
  </r>
  <r>
    <x v="3"/>
    <x v="153"/>
    <x v="70"/>
    <x v="6"/>
    <x v="56"/>
    <x v="5"/>
    <x v="1"/>
    <x v="1"/>
    <x v="1"/>
    <x v="50"/>
    <x v="3"/>
    <x v="2"/>
  </r>
  <r>
    <x v="3"/>
    <x v="153"/>
    <x v="70"/>
    <x v="10"/>
    <x v="122"/>
    <x v="5"/>
    <x v="1"/>
    <x v="6"/>
    <x v="7"/>
    <x v="50"/>
    <x v="3"/>
    <x v="11"/>
  </r>
  <r>
    <x v="3"/>
    <x v="141"/>
    <x v="0"/>
    <x v="6"/>
    <x v="190"/>
    <x v="5"/>
    <x v="12"/>
    <x v="6"/>
    <x v="7"/>
    <x v="27"/>
    <x v="15"/>
    <x v="11"/>
  </r>
  <r>
    <x v="3"/>
    <x v="141"/>
    <x v="0"/>
    <x v="10"/>
    <x v="175"/>
    <x v="5"/>
    <x v="12"/>
    <x v="1"/>
    <x v="1"/>
    <x v="27"/>
    <x v="15"/>
    <x v="2"/>
  </r>
  <r>
    <x v="9"/>
    <x v="224"/>
    <x v="185"/>
    <x v="0"/>
    <x v="34"/>
    <x v="5"/>
    <x v="6"/>
    <x v="6"/>
    <x v="7"/>
    <x v="44"/>
    <x v="16"/>
    <x v="11"/>
  </r>
  <r>
    <x v="2"/>
    <x v="196"/>
    <x v="138"/>
    <x v="6"/>
    <x v="154"/>
    <x v="6"/>
    <x v="1"/>
    <x v="8"/>
    <x v="9"/>
    <x v="47"/>
    <x v="3"/>
    <x v="16"/>
  </r>
  <r>
    <x v="2"/>
    <x v="24"/>
    <x v="27"/>
    <x v="5"/>
    <x v="76"/>
    <x v="6"/>
    <x v="7"/>
    <x v="1"/>
    <x v="1"/>
    <x v="36"/>
    <x v="9"/>
    <x v="2"/>
  </r>
  <r>
    <x v="4"/>
    <x v="78"/>
    <x v="137"/>
    <x v="5"/>
    <x v="186"/>
    <x v="6"/>
    <x v="12"/>
    <x v="3"/>
    <x v="3"/>
    <x v="20"/>
    <x v="16"/>
    <x v="6"/>
  </r>
  <r>
    <x v="5"/>
    <x v="94"/>
    <x v="61"/>
    <x v="0"/>
    <x v="187"/>
    <x v="6"/>
    <x v="12"/>
    <x v="1"/>
    <x v="1"/>
    <x v="16"/>
    <x v="16"/>
    <x v="2"/>
  </r>
  <r>
    <x v="5"/>
    <x v="94"/>
    <x v="61"/>
    <x v="0"/>
    <x v="182"/>
    <x v="6"/>
    <x v="12"/>
    <x v="3"/>
    <x v="3"/>
    <x v="16"/>
    <x v="16"/>
    <x v="6"/>
  </r>
  <r>
    <x v="5"/>
    <x v="78"/>
    <x v="137"/>
    <x v="0"/>
    <x v="187"/>
    <x v="6"/>
    <x v="12"/>
    <x v="3"/>
    <x v="3"/>
    <x v="20"/>
    <x v="16"/>
    <x v="6"/>
  </r>
  <r>
    <x v="1"/>
    <x v="38"/>
    <x v="188"/>
    <x v="9"/>
    <x v="113"/>
    <x v="7"/>
    <x v="0"/>
    <x v="2"/>
    <x v="3"/>
    <x v="28"/>
    <x v="2"/>
    <x v="5"/>
  </r>
  <r>
    <x v="1"/>
    <x v="43"/>
    <x v="182"/>
    <x v="13"/>
    <x v="151"/>
    <x v="7"/>
    <x v="5"/>
    <x v="3"/>
    <x v="4"/>
    <x v="23"/>
    <x v="7"/>
    <x v="7"/>
  </r>
  <r>
    <x v="1"/>
    <x v="38"/>
    <x v="188"/>
    <x v="5"/>
    <x v="113"/>
    <x v="7"/>
    <x v="10"/>
    <x v="1"/>
    <x v="2"/>
    <x v="28"/>
    <x v="12"/>
    <x v="3"/>
  </r>
  <r>
    <x v="3"/>
    <x v="7"/>
    <x v="192"/>
    <x v="10"/>
    <x v="112"/>
    <x v="7"/>
    <x v="9"/>
    <x v="3"/>
    <x v="3"/>
    <x v="52"/>
    <x v="11"/>
    <x v="6"/>
  </r>
  <r>
    <x v="3"/>
    <x v="7"/>
    <x v="192"/>
    <x v="14"/>
    <x v="123"/>
    <x v="7"/>
    <x v="9"/>
    <x v="6"/>
    <x v="7"/>
    <x v="52"/>
    <x v="11"/>
    <x v="11"/>
  </r>
  <r>
    <x v="3"/>
    <x v="122"/>
    <x v="67"/>
    <x v="5"/>
    <x v="26"/>
    <x v="7"/>
    <x v="12"/>
    <x v="3"/>
    <x v="3"/>
    <x v="54"/>
    <x v="15"/>
    <x v="6"/>
  </r>
  <r>
    <x v="3"/>
    <x v="122"/>
    <x v="67"/>
    <x v="9"/>
    <x v="26"/>
    <x v="7"/>
    <x v="12"/>
    <x v="8"/>
    <x v="9"/>
    <x v="54"/>
    <x v="15"/>
    <x v="16"/>
  </r>
  <r>
    <x v="10"/>
    <x v="126"/>
    <x v="39"/>
    <x v="5"/>
    <x v="155"/>
    <x v="7"/>
    <x v="12"/>
    <x v="1"/>
    <x v="1"/>
    <x v="34"/>
    <x v="16"/>
    <x v="2"/>
  </r>
  <r>
    <x v="0"/>
    <x v="35"/>
    <x v="166"/>
    <x v="19"/>
    <x v="2"/>
    <x v="8"/>
    <x v="0"/>
    <x v="3"/>
    <x v="4"/>
    <x v="29"/>
    <x v="2"/>
    <x v="7"/>
  </r>
  <r>
    <x v="1"/>
    <x v="36"/>
    <x v="91"/>
    <x v="5"/>
    <x v="108"/>
    <x v="8"/>
    <x v="11"/>
    <x v="2"/>
    <x v="3"/>
    <x v="28"/>
    <x v="14"/>
    <x v="5"/>
  </r>
  <r>
    <x v="4"/>
    <x v="35"/>
    <x v="164"/>
    <x v="17"/>
    <x v="212"/>
    <x v="8"/>
    <x v="0"/>
    <x v="5"/>
    <x v="7"/>
    <x v="29"/>
    <x v="16"/>
    <x v="9"/>
  </r>
  <r>
    <x v="4"/>
    <x v="73"/>
    <x v="41"/>
    <x v="10"/>
    <x v="58"/>
    <x v="8"/>
    <x v="1"/>
    <x v="8"/>
    <x v="9"/>
    <x v="15"/>
    <x v="16"/>
    <x v="16"/>
  </r>
  <r>
    <x v="4"/>
    <x v="102"/>
    <x v="57"/>
    <x v="5"/>
    <x v="78"/>
    <x v="8"/>
    <x v="7"/>
    <x v="3"/>
    <x v="3"/>
    <x v="18"/>
    <x v="16"/>
    <x v="6"/>
  </r>
  <r>
    <x v="4"/>
    <x v="73"/>
    <x v="41"/>
    <x v="16"/>
    <x v="58"/>
    <x v="8"/>
    <x v="12"/>
    <x v="1"/>
    <x v="1"/>
    <x v="15"/>
    <x v="16"/>
    <x v="2"/>
  </r>
  <r>
    <x v="7"/>
    <x v="35"/>
    <x v="165"/>
    <x v="15"/>
    <x v="39"/>
    <x v="8"/>
    <x v="0"/>
    <x v="5"/>
    <x v="7"/>
    <x v="29"/>
    <x v="16"/>
    <x v="9"/>
  </r>
  <r>
    <x v="7"/>
    <x v="35"/>
    <x v="165"/>
    <x v="13"/>
    <x v="3"/>
    <x v="8"/>
    <x v="5"/>
    <x v="3"/>
    <x v="4"/>
    <x v="29"/>
    <x v="16"/>
    <x v="7"/>
  </r>
  <r>
    <x v="10"/>
    <x v="35"/>
    <x v="165"/>
    <x v="9"/>
    <x v="212"/>
    <x v="8"/>
    <x v="2"/>
    <x v="1"/>
    <x v="2"/>
    <x v="29"/>
    <x v="16"/>
    <x v="3"/>
  </r>
  <r>
    <x v="10"/>
    <x v="117"/>
    <x v="244"/>
    <x v="6"/>
    <x v="81"/>
    <x v="8"/>
    <x v="6"/>
    <x v="1"/>
    <x v="1"/>
    <x v="0"/>
    <x v="16"/>
    <x v="2"/>
  </r>
  <r>
    <x v="10"/>
    <x v="117"/>
    <x v="244"/>
    <x v="10"/>
    <x v="102"/>
    <x v="8"/>
    <x v="6"/>
    <x v="12"/>
    <x v="13"/>
    <x v="0"/>
    <x v="16"/>
    <x v="2"/>
  </r>
  <r>
    <x v="10"/>
    <x v="118"/>
    <x v="236"/>
    <x v="6"/>
    <x v="184"/>
    <x v="8"/>
    <x v="6"/>
    <x v="3"/>
    <x v="3"/>
    <x v="7"/>
    <x v="16"/>
    <x v="6"/>
  </r>
  <r>
    <x v="10"/>
    <x v="118"/>
    <x v="236"/>
    <x v="10"/>
    <x v="80"/>
    <x v="8"/>
    <x v="6"/>
    <x v="13"/>
    <x v="14"/>
    <x v="7"/>
    <x v="16"/>
    <x v="6"/>
  </r>
  <r>
    <x v="2"/>
    <x v="23"/>
    <x v="120"/>
    <x v="6"/>
    <x v="163"/>
    <x v="9"/>
    <x v="0"/>
    <x v="3"/>
    <x v="3"/>
    <x v="58"/>
    <x v="2"/>
    <x v="6"/>
  </r>
  <r>
    <x v="2"/>
    <x v="23"/>
    <x v="120"/>
    <x v="6"/>
    <x v="163"/>
    <x v="9"/>
    <x v="10"/>
    <x v="1"/>
    <x v="1"/>
    <x v="58"/>
    <x v="12"/>
    <x v="2"/>
  </r>
  <r>
    <x v="9"/>
    <x v="218"/>
    <x v="88"/>
    <x v="0"/>
    <x v="185"/>
    <x v="9"/>
    <x v="6"/>
    <x v="11"/>
    <x v="12"/>
    <x v="33"/>
    <x v="16"/>
    <x v="20"/>
  </r>
  <r>
    <x v="2"/>
    <x v="4"/>
    <x v="35"/>
    <x v="10"/>
    <x v="178"/>
    <x v="10"/>
    <x v="6"/>
    <x v="1"/>
    <x v="1"/>
    <x v="36"/>
    <x v="8"/>
    <x v="2"/>
  </r>
  <r>
    <x v="6"/>
    <x v="4"/>
    <x v="35"/>
    <x v="1"/>
    <x v="127"/>
    <x v="10"/>
    <x v="6"/>
    <x v="1"/>
    <x v="1"/>
    <x v="36"/>
    <x v="1"/>
    <x v="2"/>
  </r>
  <r>
    <x v="6"/>
    <x v="10"/>
    <x v="102"/>
    <x v="5"/>
    <x v="3"/>
    <x v="10"/>
    <x v="6"/>
    <x v="6"/>
    <x v="7"/>
    <x v="10"/>
    <x v="13"/>
    <x v="11"/>
  </r>
  <r>
    <x v="9"/>
    <x v="230"/>
    <x v="204"/>
    <x v="0"/>
    <x v="212"/>
    <x v="10"/>
    <x v="5"/>
    <x v="9"/>
    <x v="10"/>
    <x v="11"/>
    <x v="16"/>
    <x v="18"/>
  </r>
  <r>
    <x v="9"/>
    <x v="4"/>
    <x v="34"/>
    <x v="0"/>
    <x v="212"/>
    <x v="10"/>
    <x v="12"/>
    <x v="6"/>
    <x v="7"/>
    <x v="36"/>
    <x v="16"/>
    <x v="11"/>
  </r>
  <r>
    <x v="10"/>
    <x v="10"/>
    <x v="103"/>
    <x v="5"/>
    <x v="212"/>
    <x v="10"/>
    <x v="6"/>
    <x v="6"/>
    <x v="7"/>
    <x v="10"/>
    <x v="16"/>
    <x v="11"/>
  </r>
  <r>
    <x v="10"/>
    <x v="116"/>
    <x v="2"/>
    <x v="10"/>
    <x v="205"/>
    <x v="10"/>
    <x v="10"/>
    <x v="13"/>
    <x v="15"/>
    <x v="20"/>
    <x v="16"/>
    <x v="7"/>
  </r>
  <r>
    <x v="10"/>
    <x v="116"/>
    <x v="2"/>
    <x v="6"/>
    <x v="205"/>
    <x v="10"/>
    <x v="11"/>
    <x v="3"/>
    <x v="4"/>
    <x v="20"/>
    <x v="16"/>
    <x v="7"/>
  </r>
  <r>
    <x v="10"/>
    <x v="120"/>
    <x v="82"/>
    <x v="6"/>
    <x v="149"/>
    <x v="10"/>
    <x v="12"/>
    <x v="1"/>
    <x v="1"/>
    <x v="15"/>
    <x v="16"/>
    <x v="2"/>
  </r>
  <r>
    <x v="10"/>
    <x v="120"/>
    <x v="82"/>
    <x v="10"/>
    <x v="22"/>
    <x v="10"/>
    <x v="12"/>
    <x v="6"/>
    <x v="7"/>
    <x v="15"/>
    <x v="16"/>
    <x v="11"/>
  </r>
  <r>
    <x v="11"/>
    <x v="201"/>
    <x v="203"/>
    <x v="6"/>
    <x v="201"/>
    <x v="10"/>
    <x v="2"/>
    <x v="1"/>
    <x v="1"/>
    <x v="34"/>
    <x v="4"/>
    <x v="2"/>
  </r>
  <r>
    <x v="11"/>
    <x v="201"/>
    <x v="203"/>
    <x v="6"/>
    <x v="201"/>
    <x v="10"/>
    <x v="10"/>
    <x v="3"/>
    <x v="3"/>
    <x v="34"/>
    <x v="12"/>
    <x v="6"/>
  </r>
  <r>
    <x v="11"/>
    <x v="189"/>
    <x v="218"/>
    <x v="5"/>
    <x v="201"/>
    <x v="10"/>
    <x v="2"/>
    <x v="3"/>
    <x v="3"/>
    <x v="17"/>
    <x v="4"/>
    <x v="6"/>
  </r>
  <r>
    <x v="11"/>
    <x v="189"/>
    <x v="218"/>
    <x v="5"/>
    <x v="201"/>
    <x v="10"/>
    <x v="10"/>
    <x v="1"/>
    <x v="1"/>
    <x v="17"/>
    <x v="12"/>
    <x v="2"/>
  </r>
  <r>
    <x v="11"/>
    <x v="4"/>
    <x v="35"/>
    <x v="14"/>
    <x v="146"/>
    <x v="10"/>
    <x v="5"/>
    <x v="6"/>
    <x v="7"/>
    <x v="36"/>
    <x v="16"/>
    <x v="11"/>
  </r>
  <r>
    <x v="0"/>
    <x v="49"/>
    <x v="129"/>
    <x v="6"/>
    <x v="188"/>
    <x v="11"/>
    <x v="12"/>
    <x v="1"/>
    <x v="3"/>
    <x v="17"/>
    <x v="15"/>
    <x v="4"/>
  </r>
  <r>
    <x v="1"/>
    <x v="70"/>
    <x v="77"/>
    <x v="14"/>
    <x v="0"/>
    <x v="11"/>
    <x v="5"/>
    <x v="3"/>
    <x v="3"/>
    <x v="34"/>
    <x v="7"/>
    <x v="6"/>
  </r>
  <r>
    <x v="4"/>
    <x v="70"/>
    <x v="81"/>
    <x v="10"/>
    <x v="29"/>
    <x v="11"/>
    <x v="5"/>
    <x v="6"/>
    <x v="7"/>
    <x v="34"/>
    <x v="16"/>
    <x v="11"/>
  </r>
  <r>
    <x v="4"/>
    <x v="103"/>
    <x v="80"/>
    <x v="9"/>
    <x v="14"/>
    <x v="11"/>
    <x v="6"/>
    <x v="1"/>
    <x v="1"/>
    <x v="0"/>
    <x v="16"/>
    <x v="2"/>
  </r>
  <r>
    <x v="4"/>
    <x v="103"/>
    <x v="80"/>
    <x v="5"/>
    <x v="15"/>
    <x v="11"/>
    <x v="6"/>
    <x v="1"/>
    <x v="1"/>
    <x v="0"/>
    <x v="16"/>
    <x v="2"/>
  </r>
  <r>
    <x v="9"/>
    <x v="232"/>
    <x v="23"/>
    <x v="0"/>
    <x v="34"/>
    <x v="11"/>
    <x v="2"/>
    <x v="1"/>
    <x v="1"/>
    <x v="13"/>
    <x v="16"/>
    <x v="2"/>
  </r>
  <r>
    <x v="9"/>
    <x v="227"/>
    <x v="226"/>
    <x v="0"/>
    <x v="27"/>
    <x v="11"/>
    <x v="10"/>
    <x v="6"/>
    <x v="9"/>
    <x v="43"/>
    <x v="16"/>
    <x v="13"/>
  </r>
  <r>
    <x v="10"/>
    <x v="125"/>
    <x v="199"/>
    <x v="9"/>
    <x v="134"/>
    <x v="11"/>
    <x v="0"/>
    <x v="6"/>
    <x v="9"/>
    <x v="6"/>
    <x v="16"/>
    <x v="13"/>
  </r>
  <r>
    <x v="10"/>
    <x v="19"/>
    <x v="212"/>
    <x v="6"/>
    <x v="107"/>
    <x v="11"/>
    <x v="6"/>
    <x v="3"/>
    <x v="3"/>
    <x v="36"/>
    <x v="16"/>
    <x v="6"/>
  </r>
  <r>
    <x v="10"/>
    <x v="19"/>
    <x v="212"/>
    <x v="10"/>
    <x v="23"/>
    <x v="11"/>
    <x v="6"/>
    <x v="13"/>
    <x v="14"/>
    <x v="36"/>
    <x v="16"/>
    <x v="6"/>
  </r>
  <r>
    <x v="10"/>
    <x v="121"/>
    <x v="223"/>
    <x v="6"/>
    <x v="82"/>
    <x v="11"/>
    <x v="11"/>
    <x v="8"/>
    <x v="10"/>
    <x v="7"/>
    <x v="16"/>
    <x v="17"/>
  </r>
  <r>
    <x v="10"/>
    <x v="16"/>
    <x v="215"/>
    <x v="6"/>
    <x v="212"/>
    <x v="11"/>
    <x v="12"/>
    <x v="3"/>
    <x v="3"/>
    <x v="39"/>
    <x v="16"/>
    <x v="6"/>
  </r>
  <r>
    <x v="10"/>
    <x v="16"/>
    <x v="215"/>
    <x v="10"/>
    <x v="212"/>
    <x v="11"/>
    <x v="12"/>
    <x v="6"/>
    <x v="7"/>
    <x v="39"/>
    <x v="16"/>
    <x v="11"/>
  </r>
  <r>
    <x v="10"/>
    <x v="125"/>
    <x v="199"/>
    <x v="5"/>
    <x v="149"/>
    <x v="11"/>
    <x v="12"/>
    <x v="3"/>
    <x v="3"/>
    <x v="6"/>
    <x v="16"/>
    <x v="6"/>
  </r>
  <r>
    <x v="1"/>
    <x v="62"/>
    <x v="181"/>
    <x v="5"/>
    <x v="198"/>
    <x v="12"/>
    <x v="2"/>
    <x v="3"/>
    <x v="3"/>
    <x v="15"/>
    <x v="4"/>
    <x v="6"/>
  </r>
  <r>
    <x v="11"/>
    <x v="174"/>
    <x v="254"/>
    <x v="5"/>
    <x v="44"/>
    <x v="12"/>
    <x v="1"/>
    <x v="3"/>
    <x v="3"/>
    <x v="4"/>
    <x v="16"/>
    <x v="6"/>
  </r>
  <r>
    <x v="11"/>
    <x v="182"/>
    <x v="124"/>
    <x v="5"/>
    <x v="86"/>
    <x v="13"/>
    <x v="12"/>
    <x v="16"/>
    <x v="18"/>
    <x v="12"/>
    <x v="16"/>
    <x v="6"/>
  </r>
  <r>
    <x v="0"/>
    <x v="150"/>
    <x v="190"/>
    <x v="9"/>
    <x v="196"/>
    <x v="14"/>
    <x v="10"/>
    <x v="1"/>
    <x v="1"/>
    <x v="46"/>
    <x v="12"/>
    <x v="2"/>
  </r>
  <r>
    <x v="0"/>
    <x v="34"/>
    <x v="155"/>
    <x v="6"/>
    <x v="2"/>
    <x v="14"/>
    <x v="11"/>
    <x v="8"/>
    <x v="9"/>
    <x v="36"/>
    <x v="14"/>
    <x v="16"/>
  </r>
  <r>
    <x v="0"/>
    <x v="240"/>
    <x v="104"/>
    <x v="6"/>
    <x v="200"/>
    <x v="14"/>
    <x v="12"/>
    <x v="1"/>
    <x v="1"/>
    <x v="40"/>
    <x v="15"/>
    <x v="2"/>
  </r>
  <r>
    <x v="1"/>
    <x v="240"/>
    <x v="100"/>
    <x v="16"/>
    <x v="199"/>
    <x v="14"/>
    <x v="12"/>
    <x v="3"/>
    <x v="3"/>
    <x v="40"/>
    <x v="15"/>
    <x v="6"/>
  </r>
  <r>
    <x v="4"/>
    <x v="150"/>
    <x v="191"/>
    <x v="5"/>
    <x v="57"/>
    <x v="14"/>
    <x v="1"/>
    <x v="6"/>
    <x v="7"/>
    <x v="46"/>
    <x v="16"/>
    <x v="11"/>
  </r>
  <r>
    <x v="4"/>
    <x v="240"/>
    <x v="104"/>
    <x v="10"/>
    <x v="135"/>
    <x v="14"/>
    <x v="12"/>
    <x v="6"/>
    <x v="7"/>
    <x v="40"/>
    <x v="16"/>
    <x v="11"/>
  </r>
  <r>
    <x v="4"/>
    <x v="150"/>
    <x v="189"/>
    <x v="0"/>
    <x v="212"/>
    <x v="14"/>
    <x v="14"/>
    <x v="21"/>
    <x v="23"/>
    <x v="46"/>
    <x v="16"/>
    <x v="21"/>
  </r>
  <r>
    <x v="5"/>
    <x v="96"/>
    <x v="195"/>
    <x v="0"/>
    <x v="212"/>
    <x v="14"/>
    <x v="10"/>
    <x v="1"/>
    <x v="1"/>
    <x v="39"/>
    <x v="16"/>
    <x v="2"/>
  </r>
  <r>
    <x v="9"/>
    <x v="219"/>
    <x v="83"/>
    <x v="0"/>
    <x v="11"/>
    <x v="14"/>
    <x v="1"/>
    <x v="6"/>
    <x v="7"/>
    <x v="19"/>
    <x v="16"/>
    <x v="11"/>
  </r>
  <r>
    <x v="10"/>
    <x v="129"/>
    <x v="62"/>
    <x v="5"/>
    <x v="83"/>
    <x v="14"/>
    <x v="6"/>
    <x v="3"/>
    <x v="3"/>
    <x v="24"/>
    <x v="16"/>
    <x v="6"/>
  </r>
  <r>
    <x v="10"/>
    <x v="128"/>
    <x v="177"/>
    <x v="5"/>
    <x v="192"/>
    <x v="14"/>
    <x v="6"/>
    <x v="1"/>
    <x v="1"/>
    <x v="31"/>
    <x v="16"/>
    <x v="2"/>
  </r>
  <r>
    <x v="11"/>
    <x v="172"/>
    <x v="230"/>
    <x v="5"/>
    <x v="204"/>
    <x v="15"/>
    <x v="12"/>
    <x v="16"/>
    <x v="18"/>
    <x v="15"/>
    <x v="16"/>
    <x v="6"/>
  </r>
  <r>
    <x v="0"/>
    <x v="235"/>
    <x v="172"/>
    <x v="9"/>
    <x v="96"/>
    <x v="16"/>
    <x v="5"/>
    <x v="8"/>
    <x v="9"/>
    <x v="38"/>
    <x v="7"/>
    <x v="16"/>
  </r>
  <r>
    <x v="0"/>
    <x v="235"/>
    <x v="172"/>
    <x v="9"/>
    <x v="96"/>
    <x v="16"/>
    <x v="0"/>
    <x v="6"/>
    <x v="7"/>
    <x v="38"/>
    <x v="2"/>
    <x v="11"/>
  </r>
  <r>
    <x v="3"/>
    <x v="157"/>
    <x v="72"/>
    <x v="6"/>
    <x v="180"/>
    <x v="16"/>
    <x v="5"/>
    <x v="1"/>
    <x v="1"/>
    <x v="36"/>
    <x v="7"/>
    <x v="2"/>
  </r>
  <r>
    <x v="3"/>
    <x v="157"/>
    <x v="72"/>
    <x v="6"/>
    <x v="180"/>
    <x v="16"/>
    <x v="10"/>
    <x v="3"/>
    <x v="3"/>
    <x v="36"/>
    <x v="12"/>
    <x v="6"/>
  </r>
  <r>
    <x v="3"/>
    <x v="157"/>
    <x v="72"/>
    <x v="10"/>
    <x v="55"/>
    <x v="16"/>
    <x v="5"/>
    <x v="6"/>
    <x v="7"/>
    <x v="36"/>
    <x v="7"/>
    <x v="11"/>
  </r>
  <r>
    <x v="3"/>
    <x v="157"/>
    <x v="72"/>
    <x v="10"/>
    <x v="55"/>
    <x v="16"/>
    <x v="10"/>
    <x v="8"/>
    <x v="9"/>
    <x v="36"/>
    <x v="12"/>
    <x v="16"/>
  </r>
  <r>
    <x v="4"/>
    <x v="235"/>
    <x v="171"/>
    <x v="5"/>
    <x v="94"/>
    <x v="16"/>
    <x v="6"/>
    <x v="3"/>
    <x v="3"/>
    <x v="38"/>
    <x v="16"/>
    <x v="6"/>
  </r>
  <r>
    <x v="4"/>
    <x v="235"/>
    <x v="171"/>
    <x v="9"/>
    <x v="94"/>
    <x v="16"/>
    <x v="6"/>
    <x v="8"/>
    <x v="9"/>
    <x v="38"/>
    <x v="16"/>
    <x v="16"/>
  </r>
  <r>
    <x v="4"/>
    <x v="235"/>
    <x v="171"/>
    <x v="5"/>
    <x v="94"/>
    <x v="16"/>
    <x v="6"/>
    <x v="3"/>
    <x v="3"/>
    <x v="38"/>
    <x v="16"/>
    <x v="6"/>
  </r>
  <r>
    <x v="4"/>
    <x v="83"/>
    <x v="153"/>
    <x v="5"/>
    <x v="212"/>
    <x v="16"/>
    <x v="10"/>
    <x v="3"/>
    <x v="3"/>
    <x v="41"/>
    <x v="16"/>
    <x v="6"/>
  </r>
  <r>
    <x v="5"/>
    <x v="83"/>
    <x v="9"/>
    <x v="0"/>
    <x v="212"/>
    <x v="16"/>
    <x v="10"/>
    <x v="3"/>
    <x v="3"/>
    <x v="41"/>
    <x v="16"/>
    <x v="6"/>
  </r>
  <r>
    <x v="7"/>
    <x v="137"/>
    <x v="29"/>
    <x v="5"/>
    <x v="83"/>
    <x v="16"/>
    <x v="2"/>
    <x v="6"/>
    <x v="9"/>
    <x v="29"/>
    <x v="16"/>
    <x v="13"/>
  </r>
  <r>
    <x v="7"/>
    <x v="235"/>
    <x v="173"/>
    <x v="5"/>
    <x v="95"/>
    <x v="16"/>
    <x v="6"/>
    <x v="3"/>
    <x v="3"/>
    <x v="38"/>
    <x v="16"/>
    <x v="6"/>
  </r>
  <r>
    <x v="7"/>
    <x v="83"/>
    <x v="153"/>
    <x v="5"/>
    <x v="3"/>
    <x v="16"/>
    <x v="10"/>
    <x v="3"/>
    <x v="3"/>
    <x v="41"/>
    <x v="16"/>
    <x v="6"/>
  </r>
  <r>
    <x v="9"/>
    <x v="86"/>
    <x v="167"/>
    <x v="0"/>
    <x v="212"/>
    <x v="16"/>
    <x v="1"/>
    <x v="6"/>
    <x v="7"/>
    <x v="29"/>
    <x v="16"/>
    <x v="11"/>
  </r>
  <r>
    <x v="2"/>
    <x v="177"/>
    <x v="89"/>
    <x v="5"/>
    <x v="154"/>
    <x v="17"/>
    <x v="0"/>
    <x v="3"/>
    <x v="3"/>
    <x v="35"/>
    <x v="2"/>
    <x v="6"/>
  </r>
  <r>
    <x v="2"/>
    <x v="177"/>
    <x v="89"/>
    <x v="5"/>
    <x v="154"/>
    <x v="17"/>
    <x v="10"/>
    <x v="1"/>
    <x v="1"/>
    <x v="35"/>
    <x v="12"/>
    <x v="2"/>
  </r>
  <r>
    <x v="2"/>
    <x v="194"/>
    <x v="176"/>
    <x v="8"/>
    <x v="161"/>
    <x v="17"/>
    <x v="9"/>
    <x v="3"/>
    <x v="3"/>
    <x v="23"/>
    <x v="11"/>
    <x v="6"/>
  </r>
  <r>
    <x v="4"/>
    <x v="115"/>
    <x v="242"/>
    <x v="9"/>
    <x v="209"/>
    <x v="17"/>
    <x v="12"/>
    <x v="6"/>
    <x v="7"/>
    <x v="15"/>
    <x v="16"/>
    <x v="11"/>
  </r>
  <r>
    <x v="4"/>
    <x v="110"/>
    <x v="241"/>
    <x v="6"/>
    <x v="209"/>
    <x v="17"/>
    <x v="12"/>
    <x v="6"/>
    <x v="7"/>
    <x v="27"/>
    <x v="16"/>
    <x v="11"/>
  </r>
  <r>
    <x v="7"/>
    <x v="115"/>
    <x v="243"/>
    <x v="5"/>
    <x v="209"/>
    <x v="17"/>
    <x v="12"/>
    <x v="1"/>
    <x v="1"/>
    <x v="15"/>
    <x v="16"/>
    <x v="2"/>
  </r>
  <r>
    <x v="7"/>
    <x v="115"/>
    <x v="243"/>
    <x v="9"/>
    <x v="209"/>
    <x v="17"/>
    <x v="12"/>
    <x v="6"/>
    <x v="7"/>
    <x v="15"/>
    <x v="16"/>
    <x v="11"/>
  </r>
  <r>
    <x v="11"/>
    <x v="179"/>
    <x v="69"/>
    <x v="5"/>
    <x v="194"/>
    <x v="17"/>
    <x v="5"/>
    <x v="1"/>
    <x v="1"/>
    <x v="39"/>
    <x v="16"/>
    <x v="2"/>
  </r>
  <r>
    <x v="2"/>
    <x v="88"/>
    <x v="116"/>
    <x v="9"/>
    <x v="212"/>
    <x v="18"/>
    <x v="11"/>
    <x v="3"/>
    <x v="3"/>
    <x v="28"/>
    <x v="14"/>
    <x v="6"/>
  </r>
  <r>
    <x v="4"/>
    <x v="114"/>
    <x v="207"/>
    <x v="6"/>
    <x v="84"/>
    <x v="18"/>
    <x v="0"/>
    <x v="6"/>
    <x v="7"/>
    <x v="33"/>
    <x v="16"/>
    <x v="11"/>
  </r>
  <r>
    <x v="5"/>
    <x v="88"/>
    <x v="116"/>
    <x v="0"/>
    <x v="140"/>
    <x v="18"/>
    <x v="10"/>
    <x v="3"/>
    <x v="3"/>
    <x v="28"/>
    <x v="16"/>
    <x v="6"/>
  </r>
  <r>
    <x v="5"/>
    <x v="88"/>
    <x v="8"/>
    <x v="0"/>
    <x v="182"/>
    <x v="18"/>
    <x v="11"/>
    <x v="3"/>
    <x v="3"/>
    <x v="28"/>
    <x v="16"/>
    <x v="6"/>
  </r>
  <r>
    <x v="10"/>
    <x v="124"/>
    <x v="201"/>
    <x v="5"/>
    <x v="111"/>
    <x v="18"/>
    <x v="11"/>
    <x v="1"/>
    <x v="1"/>
    <x v="14"/>
    <x v="14"/>
    <x v="2"/>
  </r>
  <r>
    <x v="10"/>
    <x v="124"/>
    <x v="201"/>
    <x v="5"/>
    <x v="111"/>
    <x v="18"/>
    <x v="2"/>
    <x v="0"/>
    <x v="1"/>
    <x v="14"/>
    <x v="4"/>
    <x v="0"/>
  </r>
  <r>
    <x v="10"/>
    <x v="131"/>
    <x v="255"/>
    <x v="5"/>
    <x v="111"/>
    <x v="18"/>
    <x v="0"/>
    <x v="0"/>
    <x v="1"/>
    <x v="11"/>
    <x v="16"/>
    <x v="0"/>
  </r>
  <r>
    <x v="10"/>
    <x v="22"/>
    <x v="3"/>
    <x v="18"/>
    <x v="45"/>
    <x v="18"/>
    <x v="9"/>
    <x v="1"/>
    <x v="1"/>
    <x v="23"/>
    <x v="16"/>
    <x v="2"/>
  </r>
  <r>
    <x v="10"/>
    <x v="119"/>
    <x v="198"/>
    <x v="6"/>
    <x v="192"/>
    <x v="18"/>
    <x v="12"/>
    <x v="3"/>
    <x v="3"/>
    <x v="10"/>
    <x v="16"/>
    <x v="6"/>
  </r>
  <r>
    <x v="10"/>
    <x v="119"/>
    <x v="198"/>
    <x v="10"/>
    <x v="192"/>
    <x v="18"/>
    <x v="12"/>
    <x v="8"/>
    <x v="9"/>
    <x v="10"/>
    <x v="16"/>
    <x v="16"/>
  </r>
  <r>
    <x v="11"/>
    <x v="88"/>
    <x v="116"/>
    <x v="5"/>
    <x v="141"/>
    <x v="18"/>
    <x v="10"/>
    <x v="16"/>
    <x v="18"/>
    <x v="28"/>
    <x v="16"/>
    <x v="6"/>
  </r>
  <r>
    <x v="2"/>
    <x v="197"/>
    <x v="146"/>
    <x v="6"/>
    <x v="167"/>
    <x v="19"/>
    <x v="1"/>
    <x v="6"/>
    <x v="7"/>
    <x v="39"/>
    <x v="3"/>
    <x v="11"/>
  </r>
  <r>
    <x v="2"/>
    <x v="176"/>
    <x v="144"/>
    <x v="5"/>
    <x v="91"/>
    <x v="19"/>
    <x v="12"/>
    <x v="6"/>
    <x v="7"/>
    <x v="39"/>
    <x v="15"/>
    <x v="11"/>
  </r>
  <r>
    <x v="3"/>
    <x v="144"/>
    <x v="210"/>
    <x v="5"/>
    <x v="175"/>
    <x v="19"/>
    <x v="1"/>
    <x v="8"/>
    <x v="9"/>
    <x v="25"/>
    <x v="3"/>
    <x v="16"/>
  </r>
  <r>
    <x v="5"/>
    <x v="80"/>
    <x v="68"/>
    <x v="0"/>
    <x v="140"/>
    <x v="19"/>
    <x v="12"/>
    <x v="8"/>
    <x v="9"/>
    <x v="25"/>
    <x v="16"/>
    <x v="16"/>
  </r>
  <r>
    <x v="2"/>
    <x v="61"/>
    <x v="97"/>
    <x v="9"/>
    <x v="48"/>
    <x v="20"/>
    <x v="12"/>
    <x v="1"/>
    <x v="1"/>
    <x v="24"/>
    <x v="15"/>
    <x v="2"/>
  </r>
  <r>
    <x v="4"/>
    <x v="113"/>
    <x v="45"/>
    <x v="10"/>
    <x v="12"/>
    <x v="20"/>
    <x v="5"/>
    <x v="3"/>
    <x v="3"/>
    <x v="21"/>
    <x v="7"/>
    <x v="6"/>
  </r>
  <r>
    <x v="4"/>
    <x v="113"/>
    <x v="45"/>
    <x v="10"/>
    <x v="12"/>
    <x v="20"/>
    <x v="10"/>
    <x v="1"/>
    <x v="1"/>
    <x v="21"/>
    <x v="12"/>
    <x v="2"/>
  </r>
  <r>
    <x v="4"/>
    <x v="123"/>
    <x v="98"/>
    <x v="5"/>
    <x v="80"/>
    <x v="20"/>
    <x v="12"/>
    <x v="3"/>
    <x v="3"/>
    <x v="30"/>
    <x v="16"/>
    <x v="6"/>
  </r>
  <r>
    <x v="4"/>
    <x v="98"/>
    <x v="159"/>
    <x v="9"/>
    <x v="78"/>
    <x v="20"/>
    <x v="12"/>
    <x v="1"/>
    <x v="1"/>
    <x v="0"/>
    <x v="16"/>
    <x v="2"/>
  </r>
  <r>
    <x v="4"/>
    <x v="98"/>
    <x v="160"/>
    <x v="5"/>
    <x v="78"/>
    <x v="20"/>
    <x v="12"/>
    <x v="1"/>
    <x v="1"/>
    <x v="0"/>
    <x v="16"/>
    <x v="2"/>
  </r>
  <r>
    <x v="5"/>
    <x v="84"/>
    <x v="10"/>
    <x v="0"/>
    <x v="212"/>
    <x v="20"/>
    <x v="5"/>
    <x v="0"/>
    <x v="1"/>
    <x v="26"/>
    <x v="16"/>
    <x v="0"/>
  </r>
  <r>
    <x v="7"/>
    <x v="123"/>
    <x v="98"/>
    <x v="5"/>
    <x v="80"/>
    <x v="20"/>
    <x v="12"/>
    <x v="3"/>
    <x v="3"/>
    <x v="30"/>
    <x v="16"/>
    <x v="6"/>
  </r>
  <r>
    <x v="11"/>
    <x v="61"/>
    <x v="97"/>
    <x v="5"/>
    <x v="47"/>
    <x v="20"/>
    <x v="1"/>
    <x v="3"/>
    <x v="3"/>
    <x v="24"/>
    <x v="16"/>
    <x v="6"/>
  </r>
  <r>
    <x v="2"/>
    <x v="198"/>
    <x v="11"/>
    <x v="6"/>
    <x v="126"/>
    <x v="21"/>
    <x v="12"/>
    <x v="8"/>
    <x v="9"/>
    <x v="0"/>
    <x v="15"/>
    <x v="16"/>
  </r>
  <r>
    <x v="3"/>
    <x v="156"/>
    <x v="49"/>
    <x v="6"/>
    <x v="65"/>
    <x v="21"/>
    <x v="1"/>
    <x v="1"/>
    <x v="1"/>
    <x v="35"/>
    <x v="3"/>
    <x v="2"/>
  </r>
  <r>
    <x v="3"/>
    <x v="156"/>
    <x v="49"/>
    <x v="10"/>
    <x v="56"/>
    <x v="21"/>
    <x v="1"/>
    <x v="6"/>
    <x v="7"/>
    <x v="35"/>
    <x v="3"/>
    <x v="11"/>
  </r>
  <r>
    <x v="4"/>
    <x v="89"/>
    <x v="150"/>
    <x v="5"/>
    <x v="12"/>
    <x v="21"/>
    <x v="1"/>
    <x v="3"/>
    <x v="3"/>
    <x v="3"/>
    <x v="16"/>
    <x v="6"/>
  </r>
  <r>
    <x v="4"/>
    <x v="101"/>
    <x v="248"/>
    <x v="9"/>
    <x v="12"/>
    <x v="21"/>
    <x v="12"/>
    <x v="3"/>
    <x v="3"/>
    <x v="8"/>
    <x v="16"/>
    <x v="6"/>
  </r>
  <r>
    <x v="7"/>
    <x v="135"/>
    <x v="214"/>
    <x v="5"/>
    <x v="173"/>
    <x v="21"/>
    <x v="6"/>
    <x v="1"/>
    <x v="1"/>
    <x v="14"/>
    <x v="16"/>
    <x v="2"/>
  </r>
  <r>
    <x v="7"/>
    <x v="134"/>
    <x v="151"/>
    <x v="5"/>
    <x v="205"/>
    <x v="21"/>
    <x v="10"/>
    <x v="1"/>
    <x v="1"/>
    <x v="13"/>
    <x v="16"/>
    <x v="2"/>
  </r>
  <r>
    <x v="11"/>
    <x v="202"/>
    <x v="200"/>
    <x v="6"/>
    <x v="43"/>
    <x v="21"/>
    <x v="5"/>
    <x v="16"/>
    <x v="18"/>
    <x v="20"/>
    <x v="16"/>
    <x v="6"/>
  </r>
  <r>
    <x v="11"/>
    <x v="203"/>
    <x v="44"/>
    <x v="6"/>
    <x v="68"/>
    <x v="21"/>
    <x v="12"/>
    <x v="15"/>
    <x v="17"/>
    <x v="19"/>
    <x v="16"/>
    <x v="2"/>
  </r>
  <r>
    <x v="1"/>
    <x v="45"/>
    <x v="163"/>
    <x v="6"/>
    <x v="197"/>
    <x v="22"/>
    <x v="0"/>
    <x v="1"/>
    <x v="1"/>
    <x v="18"/>
    <x v="2"/>
    <x v="2"/>
  </r>
  <r>
    <x v="1"/>
    <x v="45"/>
    <x v="163"/>
    <x v="6"/>
    <x v="197"/>
    <x v="22"/>
    <x v="10"/>
    <x v="3"/>
    <x v="3"/>
    <x v="18"/>
    <x v="12"/>
    <x v="6"/>
  </r>
  <r>
    <x v="3"/>
    <x v="159"/>
    <x v="247"/>
    <x v="6"/>
    <x v="93"/>
    <x v="22"/>
    <x v="6"/>
    <x v="3"/>
    <x v="3"/>
    <x v="13"/>
    <x v="8"/>
    <x v="6"/>
  </r>
  <r>
    <x v="7"/>
    <x v="138"/>
    <x v="105"/>
    <x v="5"/>
    <x v="205"/>
    <x v="22"/>
    <x v="0"/>
    <x v="6"/>
    <x v="9"/>
    <x v="21"/>
    <x v="16"/>
    <x v="13"/>
  </r>
  <r>
    <x v="7"/>
    <x v="31"/>
    <x v="64"/>
    <x v="5"/>
    <x v="139"/>
    <x v="22"/>
    <x v="11"/>
    <x v="6"/>
    <x v="9"/>
    <x v="19"/>
    <x v="16"/>
    <x v="13"/>
  </r>
  <r>
    <x v="11"/>
    <x v="178"/>
    <x v="71"/>
    <x v="5"/>
    <x v="101"/>
    <x v="22"/>
    <x v="12"/>
    <x v="16"/>
    <x v="18"/>
    <x v="20"/>
    <x v="16"/>
    <x v="6"/>
  </r>
  <r>
    <x v="11"/>
    <x v="184"/>
    <x v="219"/>
    <x v="5"/>
    <x v="204"/>
    <x v="22"/>
    <x v="12"/>
    <x v="15"/>
    <x v="17"/>
    <x v="13"/>
    <x v="16"/>
    <x v="2"/>
  </r>
  <r>
    <x v="2"/>
    <x v="193"/>
    <x v="78"/>
    <x v="6"/>
    <x v="75"/>
    <x v="23"/>
    <x v="1"/>
    <x v="3"/>
    <x v="3"/>
    <x v="13"/>
    <x v="3"/>
    <x v="6"/>
  </r>
  <r>
    <x v="7"/>
    <x v="133"/>
    <x v="46"/>
    <x v="5"/>
    <x v="181"/>
    <x v="23"/>
    <x v="12"/>
    <x v="3"/>
    <x v="3"/>
    <x v="11"/>
    <x v="16"/>
    <x v="6"/>
  </r>
  <r>
    <x v="11"/>
    <x v="192"/>
    <x v="139"/>
    <x v="6"/>
    <x v="31"/>
    <x v="23"/>
    <x v="5"/>
    <x v="1"/>
    <x v="1"/>
    <x v="17"/>
    <x v="16"/>
    <x v="2"/>
  </r>
  <r>
    <x v="11"/>
    <x v="170"/>
    <x v="26"/>
    <x v="5"/>
    <x v="195"/>
    <x v="23"/>
    <x v="7"/>
    <x v="8"/>
    <x v="9"/>
    <x v="14"/>
    <x v="16"/>
    <x v="16"/>
  </r>
  <r>
    <x v="11"/>
    <x v="205"/>
    <x v="178"/>
    <x v="6"/>
    <x v="24"/>
    <x v="23"/>
    <x v="12"/>
    <x v="15"/>
    <x v="17"/>
    <x v="16"/>
    <x v="16"/>
    <x v="2"/>
  </r>
  <r>
    <x v="2"/>
    <x v="25"/>
    <x v="112"/>
    <x v="5"/>
    <x v="125"/>
    <x v="24"/>
    <x v="12"/>
    <x v="3"/>
    <x v="3"/>
    <x v="19"/>
    <x v="15"/>
    <x v="6"/>
  </r>
  <r>
    <x v="3"/>
    <x v="181"/>
    <x v="1"/>
    <x v="5"/>
    <x v="59"/>
    <x v="24"/>
    <x v="6"/>
    <x v="8"/>
    <x v="9"/>
    <x v="9"/>
    <x v="8"/>
    <x v="16"/>
  </r>
  <r>
    <x v="3"/>
    <x v="181"/>
    <x v="1"/>
    <x v="9"/>
    <x v="59"/>
    <x v="24"/>
    <x v="6"/>
    <x v="3"/>
    <x v="3"/>
    <x v="9"/>
    <x v="8"/>
    <x v="6"/>
  </r>
  <r>
    <x v="3"/>
    <x v="140"/>
    <x v="50"/>
    <x v="5"/>
    <x v="57"/>
    <x v="24"/>
    <x v="12"/>
    <x v="8"/>
    <x v="9"/>
    <x v="32"/>
    <x v="15"/>
    <x v="16"/>
  </r>
  <r>
    <x v="3"/>
    <x v="140"/>
    <x v="50"/>
    <x v="9"/>
    <x v="196"/>
    <x v="24"/>
    <x v="12"/>
    <x v="3"/>
    <x v="3"/>
    <x v="32"/>
    <x v="15"/>
    <x v="6"/>
  </r>
  <r>
    <x v="3"/>
    <x v="152"/>
    <x v="168"/>
    <x v="6"/>
    <x v="176"/>
    <x v="24"/>
    <x v="12"/>
    <x v="6"/>
    <x v="7"/>
    <x v="25"/>
    <x v="15"/>
    <x v="11"/>
  </r>
  <r>
    <x v="10"/>
    <x v="127"/>
    <x v="184"/>
    <x v="5"/>
    <x v="105"/>
    <x v="24"/>
    <x v="10"/>
    <x v="1"/>
    <x v="2"/>
    <x v="28"/>
    <x v="16"/>
    <x v="3"/>
  </r>
  <r>
    <x v="0"/>
    <x v="238"/>
    <x v="119"/>
    <x v="24"/>
    <x v="2"/>
    <x v="25"/>
    <x v="6"/>
    <x v="6"/>
    <x v="9"/>
    <x v="20"/>
    <x v="8"/>
    <x v="13"/>
  </r>
  <r>
    <x v="0"/>
    <x v="238"/>
    <x v="119"/>
    <x v="22"/>
    <x v="2"/>
    <x v="25"/>
    <x v="10"/>
    <x v="6"/>
    <x v="9"/>
    <x v="20"/>
    <x v="12"/>
    <x v="13"/>
  </r>
  <r>
    <x v="3"/>
    <x v="238"/>
    <x v="119"/>
    <x v="14"/>
    <x v="92"/>
    <x v="25"/>
    <x v="4"/>
    <x v="1"/>
    <x v="3"/>
    <x v="20"/>
    <x v="6"/>
    <x v="4"/>
  </r>
  <r>
    <x v="3"/>
    <x v="238"/>
    <x v="119"/>
    <x v="6"/>
    <x v="92"/>
    <x v="25"/>
    <x v="6"/>
    <x v="1"/>
    <x v="1"/>
    <x v="20"/>
    <x v="8"/>
    <x v="2"/>
  </r>
  <r>
    <x v="3"/>
    <x v="238"/>
    <x v="119"/>
    <x v="10"/>
    <x v="92"/>
    <x v="25"/>
    <x v="6"/>
    <x v="3"/>
    <x v="3"/>
    <x v="20"/>
    <x v="8"/>
    <x v="6"/>
  </r>
  <r>
    <x v="4"/>
    <x v="238"/>
    <x v="118"/>
    <x v="18"/>
    <x v="42"/>
    <x v="25"/>
    <x v="2"/>
    <x v="1"/>
    <x v="3"/>
    <x v="20"/>
    <x v="16"/>
    <x v="4"/>
  </r>
  <r>
    <x v="4"/>
    <x v="238"/>
    <x v="118"/>
    <x v="20"/>
    <x v="28"/>
    <x v="25"/>
    <x v="11"/>
    <x v="1"/>
    <x v="3"/>
    <x v="20"/>
    <x v="16"/>
    <x v="4"/>
  </r>
  <r>
    <x v="5"/>
    <x v="238"/>
    <x v="119"/>
    <x v="0"/>
    <x v="212"/>
    <x v="25"/>
    <x v="4"/>
    <x v="1"/>
    <x v="3"/>
    <x v="20"/>
    <x v="16"/>
    <x v="4"/>
  </r>
  <r>
    <x v="5"/>
    <x v="85"/>
    <x v="179"/>
    <x v="0"/>
    <x v="182"/>
    <x v="25"/>
    <x v="6"/>
    <x v="1"/>
    <x v="1"/>
    <x v="11"/>
    <x v="16"/>
    <x v="2"/>
  </r>
  <r>
    <x v="5"/>
    <x v="238"/>
    <x v="119"/>
    <x v="0"/>
    <x v="212"/>
    <x v="25"/>
    <x v="10"/>
    <x v="1"/>
    <x v="3"/>
    <x v="20"/>
    <x v="16"/>
    <x v="4"/>
  </r>
  <r>
    <x v="3"/>
    <x v="148"/>
    <x v="138"/>
    <x v="6"/>
    <x v="117"/>
    <x v="26"/>
    <x v="12"/>
    <x v="3"/>
    <x v="3"/>
    <x v="18"/>
    <x v="15"/>
    <x v="6"/>
  </r>
  <r>
    <x v="0"/>
    <x v="57"/>
    <x v="66"/>
    <x v="5"/>
    <x v="85"/>
    <x v="27"/>
    <x v="6"/>
    <x v="6"/>
    <x v="8"/>
    <x v="9"/>
    <x v="8"/>
    <x v="12"/>
  </r>
  <r>
    <x v="1"/>
    <x v="59"/>
    <x v="131"/>
    <x v="5"/>
    <x v="69"/>
    <x v="27"/>
    <x v="10"/>
    <x v="0"/>
    <x v="1"/>
    <x v="9"/>
    <x v="12"/>
    <x v="0"/>
  </r>
  <r>
    <x v="4"/>
    <x v="64"/>
    <x v="140"/>
    <x v="5"/>
    <x v="70"/>
    <x v="27"/>
    <x v="5"/>
    <x v="6"/>
    <x v="7"/>
    <x v="14"/>
    <x v="16"/>
    <x v="11"/>
  </r>
  <r>
    <x v="4"/>
    <x v="64"/>
    <x v="140"/>
    <x v="9"/>
    <x v="70"/>
    <x v="27"/>
    <x v="5"/>
    <x v="6"/>
    <x v="7"/>
    <x v="14"/>
    <x v="16"/>
    <x v="11"/>
  </r>
  <r>
    <x v="5"/>
    <x v="107"/>
    <x v="4"/>
    <x v="0"/>
    <x v="147"/>
    <x v="27"/>
    <x v="12"/>
    <x v="1"/>
    <x v="1"/>
    <x v="0"/>
    <x v="16"/>
    <x v="2"/>
  </r>
  <r>
    <x v="7"/>
    <x v="64"/>
    <x v="142"/>
    <x v="5"/>
    <x v="212"/>
    <x v="27"/>
    <x v="5"/>
    <x v="6"/>
    <x v="7"/>
    <x v="14"/>
    <x v="16"/>
    <x v="11"/>
  </r>
  <r>
    <x v="9"/>
    <x v="87"/>
    <x v="237"/>
    <x v="0"/>
    <x v="212"/>
    <x v="27"/>
    <x v="1"/>
    <x v="3"/>
    <x v="3"/>
    <x v="8"/>
    <x v="16"/>
    <x v="6"/>
  </r>
  <r>
    <x v="1"/>
    <x v="39"/>
    <x v="92"/>
    <x v="7"/>
    <x v="113"/>
    <x v="28"/>
    <x v="2"/>
    <x v="0"/>
    <x v="1"/>
    <x v="12"/>
    <x v="4"/>
    <x v="0"/>
  </r>
  <r>
    <x v="1"/>
    <x v="40"/>
    <x v="143"/>
    <x v="7"/>
    <x v="113"/>
    <x v="28"/>
    <x v="2"/>
    <x v="3"/>
    <x v="4"/>
    <x v="5"/>
    <x v="4"/>
    <x v="7"/>
  </r>
  <r>
    <x v="5"/>
    <x v="82"/>
    <x v="5"/>
    <x v="0"/>
    <x v="37"/>
    <x v="28"/>
    <x v="2"/>
    <x v="1"/>
    <x v="1"/>
    <x v="34"/>
    <x v="16"/>
    <x v="2"/>
  </r>
  <r>
    <x v="5"/>
    <x v="82"/>
    <x v="5"/>
    <x v="0"/>
    <x v="37"/>
    <x v="28"/>
    <x v="11"/>
    <x v="8"/>
    <x v="9"/>
    <x v="34"/>
    <x v="16"/>
    <x v="16"/>
  </r>
  <r>
    <x v="5"/>
    <x v="108"/>
    <x v="6"/>
    <x v="0"/>
    <x v="36"/>
    <x v="28"/>
    <x v="12"/>
    <x v="6"/>
    <x v="7"/>
    <x v="1"/>
    <x v="16"/>
    <x v="11"/>
  </r>
  <r>
    <x v="9"/>
    <x v="214"/>
    <x v="246"/>
    <x v="0"/>
    <x v="142"/>
    <x v="28"/>
    <x v="0"/>
    <x v="1"/>
    <x v="3"/>
    <x v="3"/>
    <x v="16"/>
    <x v="4"/>
  </r>
  <r>
    <x v="10"/>
    <x v="130"/>
    <x v="250"/>
    <x v="10"/>
    <x v="181"/>
    <x v="28"/>
    <x v="10"/>
    <x v="2"/>
    <x v="3"/>
    <x v="4"/>
    <x v="16"/>
    <x v="5"/>
  </r>
  <r>
    <x v="10"/>
    <x v="132"/>
    <x v="245"/>
    <x v="5"/>
    <x v="193"/>
    <x v="28"/>
    <x v="10"/>
    <x v="6"/>
    <x v="8"/>
    <x v="14"/>
    <x v="16"/>
    <x v="12"/>
  </r>
  <r>
    <x v="10"/>
    <x v="130"/>
    <x v="250"/>
    <x v="6"/>
    <x v="193"/>
    <x v="28"/>
    <x v="11"/>
    <x v="1"/>
    <x v="1"/>
    <x v="4"/>
    <x v="16"/>
    <x v="2"/>
  </r>
  <r>
    <x v="0"/>
    <x v="41"/>
    <x v="127"/>
    <x v="5"/>
    <x v="2"/>
    <x v="29"/>
    <x v="2"/>
    <x v="6"/>
    <x v="8"/>
    <x v="7"/>
    <x v="4"/>
    <x v="12"/>
  </r>
  <r>
    <x v="3"/>
    <x v="139"/>
    <x v="74"/>
    <x v="5"/>
    <x v="180"/>
    <x v="29"/>
    <x v="7"/>
    <x v="8"/>
    <x v="9"/>
    <x v="9"/>
    <x v="9"/>
    <x v="16"/>
  </r>
  <r>
    <x v="7"/>
    <x v="210"/>
    <x v="15"/>
    <x v="5"/>
    <x v="46"/>
    <x v="29"/>
    <x v="1"/>
    <x v="6"/>
    <x v="7"/>
    <x v="8"/>
    <x v="16"/>
    <x v="11"/>
  </r>
  <r>
    <x v="7"/>
    <x v="105"/>
    <x v="76"/>
    <x v="5"/>
    <x v="50"/>
    <x v="29"/>
    <x v="6"/>
    <x v="1"/>
    <x v="1"/>
    <x v="14"/>
    <x v="16"/>
    <x v="2"/>
  </r>
  <r>
    <x v="3"/>
    <x v="169"/>
    <x v="156"/>
    <x v="6"/>
    <x v="100"/>
    <x v="30"/>
    <x v="1"/>
    <x v="6"/>
    <x v="7"/>
    <x v="10"/>
    <x v="3"/>
    <x v="11"/>
  </r>
  <r>
    <x v="7"/>
    <x v="106"/>
    <x v="154"/>
    <x v="5"/>
    <x v="3"/>
    <x v="30"/>
    <x v="12"/>
    <x v="6"/>
    <x v="7"/>
    <x v="17"/>
    <x v="16"/>
    <x v="11"/>
  </r>
  <r>
    <x v="11"/>
    <x v="169"/>
    <x v="156"/>
    <x v="6"/>
    <x v="101"/>
    <x v="30"/>
    <x v="1"/>
    <x v="6"/>
    <x v="7"/>
    <x v="10"/>
    <x v="16"/>
    <x v="11"/>
  </r>
  <r>
    <x v="11"/>
    <x v="173"/>
    <x v="231"/>
    <x v="5"/>
    <x v="60"/>
    <x v="30"/>
    <x v="5"/>
    <x v="1"/>
    <x v="1"/>
    <x v="6"/>
    <x v="16"/>
    <x v="2"/>
  </r>
  <r>
    <x v="11"/>
    <x v="183"/>
    <x v="220"/>
    <x v="5"/>
    <x v="110"/>
    <x v="30"/>
    <x v="12"/>
    <x v="19"/>
    <x v="21"/>
    <x v="2"/>
    <x v="16"/>
    <x v="16"/>
  </r>
  <r>
    <x v="0"/>
    <x v="68"/>
    <x v="217"/>
    <x v="5"/>
    <x v="19"/>
    <x v="31"/>
    <x v="11"/>
    <x v="3"/>
    <x v="3"/>
    <x v="0"/>
    <x v="14"/>
    <x v="6"/>
  </r>
  <r>
    <x v="0"/>
    <x v="66"/>
    <x v="122"/>
    <x v="6"/>
    <x v="2"/>
    <x v="31"/>
    <x v="12"/>
    <x v="3"/>
    <x v="3"/>
    <x v="10"/>
    <x v="15"/>
    <x v="6"/>
  </r>
  <r>
    <x v="2"/>
    <x v="191"/>
    <x v="55"/>
    <x v="6"/>
    <x v="75"/>
    <x v="31"/>
    <x v="1"/>
    <x v="6"/>
    <x v="7"/>
    <x v="1"/>
    <x v="3"/>
    <x v="11"/>
  </r>
  <r>
    <x v="3"/>
    <x v="72"/>
    <x v="81"/>
    <x v="6"/>
    <x v="73"/>
    <x v="31"/>
    <x v="5"/>
    <x v="1"/>
    <x v="1"/>
    <x v="17"/>
    <x v="7"/>
    <x v="2"/>
  </r>
  <r>
    <x v="3"/>
    <x v="158"/>
    <x v="209"/>
    <x v="6"/>
    <x v="40"/>
    <x v="31"/>
    <x v="8"/>
    <x v="8"/>
    <x v="9"/>
    <x v="12"/>
    <x v="10"/>
    <x v="16"/>
  </r>
  <r>
    <x v="3"/>
    <x v="72"/>
    <x v="81"/>
    <x v="10"/>
    <x v="73"/>
    <x v="31"/>
    <x v="10"/>
    <x v="3"/>
    <x v="3"/>
    <x v="17"/>
    <x v="12"/>
    <x v="6"/>
  </r>
  <r>
    <x v="1"/>
    <x v="56"/>
    <x v="31"/>
    <x v="7"/>
    <x v="69"/>
    <x v="32"/>
    <x v="0"/>
    <x v="2"/>
    <x v="3"/>
    <x v="8"/>
    <x v="2"/>
    <x v="5"/>
  </r>
  <r>
    <x v="3"/>
    <x v="75"/>
    <x v="84"/>
    <x v="5"/>
    <x v="61"/>
    <x v="32"/>
    <x v="1"/>
    <x v="6"/>
    <x v="7"/>
    <x v="4"/>
    <x v="3"/>
    <x v="11"/>
  </r>
  <r>
    <x v="3"/>
    <x v="149"/>
    <x v="239"/>
    <x v="6"/>
    <x v="171"/>
    <x v="32"/>
    <x v="9"/>
    <x v="3"/>
    <x v="3"/>
    <x v="10"/>
    <x v="11"/>
    <x v="6"/>
  </r>
  <r>
    <x v="3"/>
    <x v="146"/>
    <x v="238"/>
    <x v="5"/>
    <x v="133"/>
    <x v="32"/>
    <x v="12"/>
    <x v="8"/>
    <x v="9"/>
    <x v="14"/>
    <x v="15"/>
    <x v="16"/>
  </r>
  <r>
    <x v="3"/>
    <x v="143"/>
    <x v="106"/>
    <x v="5"/>
    <x v="168"/>
    <x v="33"/>
    <x v="6"/>
    <x v="1"/>
    <x v="1"/>
    <x v="15"/>
    <x v="8"/>
    <x v="2"/>
  </r>
  <r>
    <x v="4"/>
    <x v="99"/>
    <x v="24"/>
    <x v="5"/>
    <x v="209"/>
    <x v="33"/>
    <x v="7"/>
    <x v="3"/>
    <x v="3"/>
    <x v="10"/>
    <x v="16"/>
    <x v="6"/>
  </r>
  <r>
    <x v="4"/>
    <x v="91"/>
    <x v="252"/>
    <x v="5"/>
    <x v="15"/>
    <x v="33"/>
    <x v="12"/>
    <x v="3"/>
    <x v="3"/>
    <x v="6"/>
    <x v="16"/>
    <x v="6"/>
  </r>
  <r>
    <x v="4"/>
    <x v="90"/>
    <x v="235"/>
    <x v="5"/>
    <x v="84"/>
    <x v="33"/>
    <x v="12"/>
    <x v="1"/>
    <x v="1"/>
    <x v="11"/>
    <x v="16"/>
    <x v="2"/>
  </r>
  <r>
    <x v="11"/>
    <x v="171"/>
    <x v="65"/>
    <x v="5"/>
    <x v="189"/>
    <x v="33"/>
    <x v="5"/>
    <x v="6"/>
    <x v="7"/>
    <x v="4"/>
    <x v="16"/>
    <x v="11"/>
  </r>
  <r>
    <x v="1"/>
    <x v="63"/>
    <x v="129"/>
    <x v="7"/>
    <x v="188"/>
    <x v="34"/>
    <x v="5"/>
    <x v="1"/>
    <x v="3"/>
    <x v="23"/>
    <x v="7"/>
    <x v="4"/>
  </r>
  <r>
    <x v="7"/>
    <x v="136"/>
    <x v="197"/>
    <x v="5"/>
    <x v="41"/>
    <x v="34"/>
    <x v="12"/>
    <x v="3"/>
    <x v="3"/>
    <x v="8"/>
    <x v="16"/>
    <x v="6"/>
  </r>
  <r>
    <x v="5"/>
    <x v="81"/>
    <x v="7"/>
    <x v="0"/>
    <x v="37"/>
    <x v="35"/>
    <x v="12"/>
    <x v="3"/>
    <x v="3"/>
    <x v="24"/>
    <x v="16"/>
    <x v="6"/>
  </r>
  <r>
    <x v="0"/>
    <x v="48"/>
    <x v="162"/>
    <x v="6"/>
    <x v="10"/>
    <x v="36"/>
    <x v="2"/>
    <x v="6"/>
    <x v="6"/>
    <x v="14"/>
    <x v="4"/>
    <x v="10"/>
  </r>
  <r>
    <x v="0"/>
    <x v="48"/>
    <x v="162"/>
    <x v="6"/>
    <x v="10"/>
    <x v="36"/>
    <x v="10"/>
    <x v="3"/>
    <x v="3"/>
    <x v="14"/>
    <x v="12"/>
    <x v="6"/>
  </r>
  <r>
    <x v="0"/>
    <x v="48"/>
    <x v="162"/>
    <x v="10"/>
    <x v="9"/>
    <x v="36"/>
    <x v="2"/>
    <x v="7"/>
    <x v="7"/>
    <x v="14"/>
    <x v="4"/>
    <x v="14"/>
  </r>
  <r>
    <x v="0"/>
    <x v="48"/>
    <x v="162"/>
    <x v="10"/>
    <x v="9"/>
    <x v="36"/>
    <x v="10"/>
    <x v="3"/>
    <x v="3"/>
    <x v="14"/>
    <x v="12"/>
    <x v="6"/>
  </r>
  <r>
    <x v="0"/>
    <x v="48"/>
    <x v="162"/>
    <x v="14"/>
    <x v="150"/>
    <x v="36"/>
    <x v="2"/>
    <x v="8"/>
    <x v="8"/>
    <x v="14"/>
    <x v="4"/>
    <x v="15"/>
  </r>
  <r>
    <x v="0"/>
    <x v="48"/>
    <x v="162"/>
    <x v="14"/>
    <x v="150"/>
    <x v="36"/>
    <x v="10"/>
    <x v="3"/>
    <x v="3"/>
    <x v="14"/>
    <x v="12"/>
    <x v="6"/>
  </r>
  <r>
    <x v="0"/>
    <x v="46"/>
    <x v="229"/>
    <x v="6"/>
    <x v="120"/>
    <x v="36"/>
    <x v="10"/>
    <x v="6"/>
    <x v="7"/>
    <x v="28"/>
    <x v="12"/>
    <x v="11"/>
  </r>
  <r>
    <x v="0"/>
    <x v="65"/>
    <x v="183"/>
    <x v="5"/>
    <x v="120"/>
    <x v="36"/>
    <x v="11"/>
    <x v="8"/>
    <x v="9"/>
    <x v="14"/>
    <x v="14"/>
    <x v="16"/>
  </r>
  <r>
    <x v="1"/>
    <x v="37"/>
    <x v="90"/>
    <x v="5"/>
    <x v="131"/>
    <x v="36"/>
    <x v="2"/>
    <x v="3"/>
    <x v="4"/>
    <x v="27"/>
    <x v="4"/>
    <x v="7"/>
  </r>
  <r>
    <x v="1"/>
    <x v="58"/>
    <x v="128"/>
    <x v="5"/>
    <x v="202"/>
    <x v="36"/>
    <x v="11"/>
    <x v="3"/>
    <x v="4"/>
    <x v="9"/>
    <x v="14"/>
    <x v="7"/>
  </r>
  <r>
    <x v="5"/>
    <x v="95"/>
    <x v="174"/>
    <x v="0"/>
    <x v="138"/>
    <x v="36"/>
    <x v="1"/>
    <x v="1"/>
    <x v="1"/>
    <x v="41"/>
    <x v="16"/>
    <x v="2"/>
  </r>
  <r>
    <x v="9"/>
    <x v="228"/>
    <x v="134"/>
    <x v="0"/>
    <x v="4"/>
    <x v="36"/>
    <x v="0"/>
    <x v="8"/>
    <x v="10"/>
    <x v="21"/>
    <x v="16"/>
    <x v="17"/>
  </r>
  <r>
    <x v="9"/>
    <x v="220"/>
    <x v="205"/>
    <x v="0"/>
    <x v="4"/>
    <x v="36"/>
    <x v="5"/>
    <x v="6"/>
    <x v="9"/>
    <x v="22"/>
    <x v="16"/>
    <x v="13"/>
  </r>
  <r>
    <x v="0"/>
    <x v="51"/>
    <x v="208"/>
    <x v="10"/>
    <x v="2"/>
    <x v="37"/>
    <x v="6"/>
    <x v="1"/>
    <x v="2"/>
    <x v="0"/>
    <x v="8"/>
    <x v="3"/>
  </r>
  <r>
    <x v="3"/>
    <x v="145"/>
    <x v="253"/>
    <x v="6"/>
    <x v="177"/>
    <x v="37"/>
    <x v="12"/>
    <x v="3"/>
    <x v="3"/>
    <x v="13"/>
    <x v="15"/>
    <x v="6"/>
  </r>
  <r>
    <x v="5"/>
    <x v="97"/>
    <x v="221"/>
    <x v="0"/>
    <x v="50"/>
    <x v="37"/>
    <x v="12"/>
    <x v="1"/>
    <x v="1"/>
    <x v="37"/>
    <x v="16"/>
    <x v="2"/>
  </r>
  <r>
    <x v="5"/>
    <x v="109"/>
    <x v="251"/>
    <x v="0"/>
    <x v="148"/>
    <x v="37"/>
    <x v="12"/>
    <x v="6"/>
    <x v="7"/>
    <x v="25"/>
    <x v="16"/>
    <x v="11"/>
  </r>
  <r>
    <x v="1"/>
    <x v="55"/>
    <x v="222"/>
    <x v="9"/>
    <x v="20"/>
    <x v="38"/>
    <x v="5"/>
    <x v="1"/>
    <x v="1"/>
    <x v="20"/>
    <x v="7"/>
    <x v="2"/>
  </r>
  <r>
    <x v="1"/>
    <x v="55"/>
    <x v="222"/>
    <x v="9"/>
    <x v="20"/>
    <x v="38"/>
    <x v="0"/>
    <x v="1"/>
    <x v="0"/>
    <x v="20"/>
    <x v="2"/>
    <x v="1"/>
  </r>
  <r>
    <x v="3"/>
    <x v="142"/>
    <x v="135"/>
    <x v="5"/>
    <x v="40"/>
    <x v="39"/>
    <x v="0"/>
    <x v="1"/>
    <x v="1"/>
    <x v="35"/>
    <x v="2"/>
    <x v="2"/>
  </r>
  <r>
    <x v="3"/>
    <x v="142"/>
    <x v="135"/>
    <x v="5"/>
    <x v="40"/>
    <x v="39"/>
    <x v="10"/>
    <x v="3"/>
    <x v="3"/>
    <x v="35"/>
    <x v="12"/>
    <x v="6"/>
  </r>
  <r>
    <x v="3"/>
    <x v="142"/>
    <x v="135"/>
    <x v="9"/>
    <x v="79"/>
    <x v="39"/>
    <x v="1"/>
    <x v="6"/>
    <x v="7"/>
    <x v="35"/>
    <x v="3"/>
    <x v="11"/>
  </r>
  <r>
    <x v="11"/>
    <x v="168"/>
    <x v="145"/>
    <x v="5"/>
    <x v="207"/>
    <x v="39"/>
    <x v="5"/>
    <x v="3"/>
    <x v="3"/>
    <x v="19"/>
    <x v="16"/>
    <x v="6"/>
  </r>
  <r>
    <x v="0"/>
    <x v="52"/>
    <x v="28"/>
    <x v="6"/>
    <x v="13"/>
    <x v="40"/>
    <x v="6"/>
    <x v="6"/>
    <x v="7"/>
    <x v="33"/>
    <x v="8"/>
    <x v="11"/>
  </r>
  <r>
    <x v="0"/>
    <x v="53"/>
    <x v="123"/>
    <x v="6"/>
    <x v="13"/>
    <x v="40"/>
    <x v="6"/>
    <x v="8"/>
    <x v="9"/>
    <x v="19"/>
    <x v="8"/>
    <x v="16"/>
  </r>
  <r>
    <x v="0"/>
    <x v="47"/>
    <x v="175"/>
    <x v="6"/>
    <x v="169"/>
    <x v="40"/>
    <x v="12"/>
    <x v="6"/>
    <x v="7"/>
    <x v="33"/>
    <x v="15"/>
    <x v="11"/>
  </r>
  <r>
    <x v="0"/>
    <x v="30"/>
    <x v="63"/>
    <x v="13"/>
    <x v="74"/>
    <x v="40"/>
    <x v="12"/>
    <x v="1"/>
    <x v="1"/>
    <x v="22"/>
    <x v="15"/>
    <x v="2"/>
  </r>
  <r>
    <x v="0"/>
    <x v="69"/>
    <x v="157"/>
    <x v="6"/>
    <x v="104"/>
    <x v="40"/>
    <x v="12"/>
    <x v="3"/>
    <x v="3"/>
    <x v="30"/>
    <x v="15"/>
    <x v="6"/>
  </r>
  <r>
    <x v="2"/>
    <x v="190"/>
    <x v="234"/>
    <x v="5"/>
    <x v="165"/>
    <x v="40"/>
    <x v="12"/>
    <x v="1"/>
    <x v="1"/>
    <x v="24"/>
    <x v="15"/>
    <x v="2"/>
  </r>
  <r>
    <x v="3"/>
    <x v="147"/>
    <x v="211"/>
    <x v="5"/>
    <x v="190"/>
    <x v="40"/>
    <x v="6"/>
    <x v="3"/>
    <x v="3"/>
    <x v="15"/>
    <x v="8"/>
    <x v="6"/>
  </r>
  <r>
    <x v="4"/>
    <x v="211"/>
    <x v="109"/>
    <x v="5"/>
    <x v="212"/>
    <x v="40"/>
    <x v="10"/>
    <x v="3"/>
    <x v="3"/>
    <x v="25"/>
    <x v="16"/>
    <x v="6"/>
  </r>
  <r>
    <x v="7"/>
    <x v="211"/>
    <x v="109"/>
    <x v="5"/>
    <x v="3"/>
    <x v="40"/>
    <x v="10"/>
    <x v="3"/>
    <x v="3"/>
    <x v="25"/>
    <x v="16"/>
    <x v="6"/>
  </r>
  <r>
    <x v="0"/>
    <x v="60"/>
    <x v="136"/>
    <x v="5"/>
    <x v="121"/>
    <x v="41"/>
    <x v="2"/>
    <x v="5"/>
    <x v="7"/>
    <x v="20"/>
    <x v="4"/>
    <x v="9"/>
  </r>
  <r>
    <x v="0"/>
    <x v="50"/>
    <x v="132"/>
    <x v="10"/>
    <x v="191"/>
    <x v="41"/>
    <x v="4"/>
    <x v="3"/>
    <x v="3"/>
    <x v="2"/>
    <x v="6"/>
    <x v="6"/>
  </r>
  <r>
    <x v="0"/>
    <x v="50"/>
    <x v="132"/>
    <x v="6"/>
    <x v="77"/>
    <x v="41"/>
    <x v="12"/>
    <x v="3"/>
    <x v="3"/>
    <x v="2"/>
    <x v="15"/>
    <x v="6"/>
  </r>
  <r>
    <x v="4"/>
    <x v="112"/>
    <x v="79"/>
    <x v="6"/>
    <x v="35"/>
    <x v="41"/>
    <x v="1"/>
    <x v="3"/>
    <x v="3"/>
    <x v="7"/>
    <x v="16"/>
    <x v="6"/>
  </r>
  <r>
    <x v="5"/>
    <x v="92"/>
    <x v="54"/>
    <x v="0"/>
    <x v="140"/>
    <x v="42"/>
    <x v="12"/>
    <x v="6"/>
    <x v="7"/>
    <x v="25"/>
    <x v="16"/>
    <x v="11"/>
  </r>
  <r>
    <x v="9"/>
    <x v="233"/>
    <x v="169"/>
    <x v="0"/>
    <x v="90"/>
    <x v="43"/>
    <x v="13"/>
    <x v="3"/>
    <x v="3"/>
    <x v="9"/>
    <x v="16"/>
    <x v="6"/>
  </r>
  <r>
    <x v="0"/>
    <x v="42"/>
    <x v="249"/>
    <x v="6"/>
    <x v="157"/>
    <x v="44"/>
    <x v="0"/>
    <x v="1"/>
    <x v="3"/>
    <x v="12"/>
    <x v="2"/>
    <x v="4"/>
  </r>
  <r>
    <x v="0"/>
    <x v="42"/>
    <x v="249"/>
    <x v="14"/>
    <x v="157"/>
    <x v="44"/>
    <x v="3"/>
    <x v="1"/>
    <x v="3"/>
    <x v="12"/>
    <x v="5"/>
    <x v="4"/>
  </r>
  <r>
    <x v="0"/>
    <x v="42"/>
    <x v="249"/>
    <x v="11"/>
    <x v="38"/>
    <x v="44"/>
    <x v="9"/>
    <x v="1"/>
    <x v="3"/>
    <x v="12"/>
    <x v="11"/>
    <x v="4"/>
  </r>
  <r>
    <x v="0"/>
    <x v="67"/>
    <x v="232"/>
    <x v="5"/>
    <x v="21"/>
    <x v="44"/>
    <x v="12"/>
    <x v="3"/>
    <x v="3"/>
    <x v="22"/>
    <x v="15"/>
    <x v="6"/>
  </r>
  <r>
    <x v="1"/>
    <x v="18"/>
    <x v="117"/>
    <x v="6"/>
    <x v="0"/>
    <x v="44"/>
    <x v="12"/>
    <x v="3"/>
    <x v="3"/>
    <x v="15"/>
    <x v="15"/>
    <x v="6"/>
  </r>
  <r>
    <x v="1"/>
    <x v="18"/>
    <x v="117"/>
    <x v="25"/>
    <x v="0"/>
    <x v="44"/>
    <x v="12"/>
    <x v="3"/>
    <x v="3"/>
    <x v="15"/>
    <x v="15"/>
    <x v="6"/>
  </r>
  <r>
    <x v="1"/>
    <x v="18"/>
    <x v="117"/>
    <x v="10"/>
    <x v="1"/>
    <x v="44"/>
    <x v="12"/>
    <x v="6"/>
    <x v="7"/>
    <x v="15"/>
    <x v="15"/>
    <x v="11"/>
  </r>
  <r>
    <x v="1"/>
    <x v="18"/>
    <x v="117"/>
    <x v="12"/>
    <x v="0"/>
    <x v="44"/>
    <x v="12"/>
    <x v="6"/>
    <x v="7"/>
    <x v="15"/>
    <x v="15"/>
    <x v="11"/>
  </r>
  <r>
    <x v="4"/>
    <x v="8"/>
    <x v="149"/>
    <x v="9"/>
    <x v="118"/>
    <x v="44"/>
    <x v="0"/>
    <x v="3"/>
    <x v="3"/>
    <x v="17"/>
    <x v="0"/>
    <x v="6"/>
  </r>
  <r>
    <x v="4"/>
    <x v="8"/>
    <x v="149"/>
    <x v="5"/>
    <x v="118"/>
    <x v="44"/>
    <x v="5"/>
    <x v="3"/>
    <x v="3"/>
    <x v="17"/>
    <x v="0"/>
    <x v="6"/>
  </r>
  <r>
    <x v="4"/>
    <x v="100"/>
    <x v="17"/>
    <x v="5"/>
    <x v="35"/>
    <x v="44"/>
    <x v="7"/>
    <x v="1"/>
    <x v="1"/>
    <x v="13"/>
    <x v="16"/>
    <x v="2"/>
  </r>
  <r>
    <x v="4"/>
    <x v="20"/>
    <x v="16"/>
    <x v="5"/>
    <x v="170"/>
    <x v="44"/>
    <x v="12"/>
    <x v="6"/>
    <x v="7"/>
    <x v="12"/>
    <x v="16"/>
    <x v="11"/>
  </r>
  <r>
    <x v="4"/>
    <x v="111"/>
    <x v="30"/>
    <x v="6"/>
    <x v="156"/>
    <x v="44"/>
    <x v="12"/>
    <x v="3"/>
    <x v="3"/>
    <x v="21"/>
    <x v="16"/>
    <x v="6"/>
  </r>
  <r>
    <x v="4"/>
    <x v="104"/>
    <x v="228"/>
    <x v="5"/>
    <x v="156"/>
    <x v="44"/>
    <x v="12"/>
    <x v="1"/>
    <x v="1"/>
    <x v="19"/>
    <x v="16"/>
    <x v="2"/>
  </r>
  <r>
    <x v="4"/>
    <x v="15"/>
    <x v="213"/>
    <x v="6"/>
    <x v="212"/>
    <x v="44"/>
    <x v="12"/>
    <x v="6"/>
    <x v="7"/>
    <x v="18"/>
    <x v="16"/>
    <x v="11"/>
  </r>
  <r>
    <x v="4"/>
    <x v="15"/>
    <x v="213"/>
    <x v="10"/>
    <x v="212"/>
    <x v="44"/>
    <x v="12"/>
    <x v="3"/>
    <x v="3"/>
    <x v="18"/>
    <x v="16"/>
    <x v="6"/>
  </r>
  <r>
    <x v="4"/>
    <x v="15"/>
    <x v="213"/>
    <x v="14"/>
    <x v="212"/>
    <x v="44"/>
    <x v="12"/>
    <x v="3"/>
    <x v="3"/>
    <x v="18"/>
    <x v="16"/>
    <x v="6"/>
  </r>
  <r>
    <x v="4"/>
    <x v="15"/>
    <x v="213"/>
    <x v="16"/>
    <x v="212"/>
    <x v="44"/>
    <x v="12"/>
    <x v="6"/>
    <x v="7"/>
    <x v="18"/>
    <x v="16"/>
    <x v="11"/>
  </r>
  <r>
    <x v="4"/>
    <x v="32"/>
    <x v="56"/>
    <x v="6"/>
    <x v="183"/>
    <x v="44"/>
    <x v="14"/>
    <x v="21"/>
    <x v="23"/>
    <x v="59"/>
    <x v="16"/>
    <x v="21"/>
  </r>
  <r>
    <x v="5"/>
    <x v="0"/>
    <x v="40"/>
    <x v="0"/>
    <x v="212"/>
    <x v="44"/>
    <x v="11"/>
    <x v="10"/>
    <x v="11"/>
    <x v="60"/>
    <x v="14"/>
    <x v="19"/>
  </r>
  <r>
    <x v="5"/>
    <x v="0"/>
    <x v="40"/>
    <x v="0"/>
    <x v="212"/>
    <x v="44"/>
    <x v="2"/>
    <x v="9"/>
    <x v="10"/>
    <x v="60"/>
    <x v="4"/>
    <x v="18"/>
  </r>
  <r>
    <x v="5"/>
    <x v="209"/>
    <x v="141"/>
    <x v="0"/>
    <x v="212"/>
    <x v="44"/>
    <x v="1"/>
    <x v="1"/>
    <x v="1"/>
    <x v="60"/>
    <x v="16"/>
    <x v="2"/>
  </r>
  <r>
    <x v="5"/>
    <x v="44"/>
    <x v="53"/>
    <x v="0"/>
    <x v="212"/>
    <x v="44"/>
    <x v="5"/>
    <x v="8"/>
    <x v="9"/>
    <x v="60"/>
    <x v="16"/>
    <x v="16"/>
  </r>
  <r>
    <x v="5"/>
    <x v="77"/>
    <x v="161"/>
    <x v="0"/>
    <x v="203"/>
    <x v="44"/>
    <x v="6"/>
    <x v="1"/>
    <x v="1"/>
    <x v="60"/>
    <x v="16"/>
    <x v="2"/>
  </r>
  <r>
    <x v="5"/>
    <x v="79"/>
    <x v="180"/>
    <x v="0"/>
    <x v="25"/>
    <x v="44"/>
    <x v="6"/>
    <x v="3"/>
    <x v="3"/>
    <x v="60"/>
    <x v="16"/>
    <x v="6"/>
  </r>
  <r>
    <x v="5"/>
    <x v="74"/>
    <x v="58"/>
    <x v="0"/>
    <x v="164"/>
    <x v="44"/>
    <x v="7"/>
    <x v="3"/>
    <x v="3"/>
    <x v="8"/>
    <x v="16"/>
    <x v="6"/>
  </r>
  <r>
    <x v="5"/>
    <x v="9"/>
    <x v="101"/>
    <x v="13"/>
    <x v="212"/>
    <x v="44"/>
    <x v="8"/>
    <x v="1"/>
    <x v="1"/>
    <x v="60"/>
    <x v="16"/>
    <x v="2"/>
  </r>
  <r>
    <x v="5"/>
    <x v="0"/>
    <x v="33"/>
    <x v="0"/>
    <x v="212"/>
    <x v="44"/>
    <x v="12"/>
    <x v="1"/>
    <x v="1"/>
    <x v="60"/>
    <x v="16"/>
    <x v="2"/>
  </r>
  <r>
    <x v="7"/>
    <x v="21"/>
    <x v="121"/>
    <x v="5"/>
    <x v="158"/>
    <x v="44"/>
    <x v="6"/>
    <x v="3"/>
    <x v="3"/>
    <x v="22"/>
    <x v="16"/>
    <x v="6"/>
  </r>
  <r>
    <x v="9"/>
    <x v="222"/>
    <x v="152"/>
    <x v="0"/>
    <x v="99"/>
    <x v="44"/>
    <x v="5"/>
    <x v="9"/>
    <x v="10"/>
    <x v="39"/>
    <x v="16"/>
    <x v="18"/>
  </r>
  <r>
    <x v="8"/>
    <x v="165"/>
    <x v="51"/>
    <x v="0"/>
    <x v="54"/>
    <x v="44"/>
    <x v="5"/>
    <x v="8"/>
    <x v="9"/>
    <x v="60"/>
    <x v="7"/>
    <x v="16"/>
  </r>
  <r>
    <x v="8"/>
    <x v="165"/>
    <x v="51"/>
    <x v="0"/>
    <x v="54"/>
    <x v="44"/>
    <x v="0"/>
    <x v="6"/>
    <x v="7"/>
    <x v="60"/>
    <x v="2"/>
    <x v="11"/>
  </r>
  <r>
    <x v="8"/>
    <x v="207"/>
    <x v="25"/>
    <x v="0"/>
    <x v="66"/>
    <x v="44"/>
    <x v="1"/>
    <x v="3"/>
    <x v="3"/>
    <x v="60"/>
    <x v="16"/>
    <x v="6"/>
  </r>
  <r>
    <x v="8"/>
    <x v="163"/>
    <x v="93"/>
    <x v="0"/>
    <x v="129"/>
    <x v="44"/>
    <x v="1"/>
    <x v="3"/>
    <x v="3"/>
    <x v="60"/>
    <x v="16"/>
    <x v="6"/>
  </r>
  <r>
    <x v="8"/>
    <x v="160"/>
    <x v="94"/>
    <x v="0"/>
    <x v="174"/>
    <x v="44"/>
    <x v="6"/>
    <x v="1"/>
    <x v="1"/>
    <x v="60"/>
    <x v="16"/>
    <x v="2"/>
  </r>
  <r>
    <x v="8"/>
    <x v="33"/>
    <x v="225"/>
    <x v="0"/>
    <x v="132"/>
    <x v="44"/>
    <x v="10"/>
    <x v="1"/>
    <x v="1"/>
    <x v="60"/>
    <x v="16"/>
    <x v="2"/>
  </r>
  <r>
    <x v="8"/>
    <x v="161"/>
    <x v="73"/>
    <x v="0"/>
    <x v="52"/>
    <x v="44"/>
    <x v="12"/>
    <x v="8"/>
    <x v="9"/>
    <x v="60"/>
    <x v="16"/>
    <x v="16"/>
  </r>
  <r>
    <x v="8"/>
    <x v="167"/>
    <x v="52"/>
    <x v="0"/>
    <x v="72"/>
    <x v="44"/>
    <x v="12"/>
    <x v="1"/>
    <x v="1"/>
    <x v="60"/>
    <x v="16"/>
    <x v="2"/>
  </r>
  <r>
    <x v="8"/>
    <x v="166"/>
    <x v="107"/>
    <x v="0"/>
    <x v="136"/>
    <x v="44"/>
    <x v="12"/>
    <x v="3"/>
    <x v="3"/>
    <x v="60"/>
    <x v="16"/>
    <x v="6"/>
  </r>
  <r>
    <x v="8"/>
    <x v="164"/>
    <x v="187"/>
    <x v="0"/>
    <x v="166"/>
    <x v="44"/>
    <x v="12"/>
    <x v="3"/>
    <x v="3"/>
    <x v="60"/>
    <x v="16"/>
    <x v="6"/>
  </r>
  <r>
    <x v="8"/>
    <x v="208"/>
    <x v="240"/>
    <x v="0"/>
    <x v="172"/>
    <x v="44"/>
    <x v="12"/>
    <x v="3"/>
    <x v="3"/>
    <x v="60"/>
    <x v="16"/>
    <x v="6"/>
  </r>
  <r>
    <x v="8"/>
    <x v="162"/>
    <x v="95"/>
    <x v="0"/>
    <x v="153"/>
    <x v="44"/>
    <x v="12"/>
    <x v="1"/>
    <x v="1"/>
    <x v="60"/>
    <x v="16"/>
    <x v="2"/>
  </r>
  <r>
    <x v="10"/>
    <x v="17"/>
    <x v="216"/>
    <x v="6"/>
    <x v="212"/>
    <x v="44"/>
    <x v="12"/>
    <x v="6"/>
    <x v="7"/>
    <x v="34"/>
    <x v="16"/>
    <x v="11"/>
  </r>
  <r>
    <x v="10"/>
    <x v="17"/>
    <x v="216"/>
    <x v="10"/>
    <x v="212"/>
    <x v="44"/>
    <x v="12"/>
    <x v="14"/>
    <x v="16"/>
    <x v="34"/>
    <x v="16"/>
    <x v="11"/>
  </r>
  <r>
    <x v="11"/>
    <x v="185"/>
    <x v="12"/>
    <x v="6"/>
    <x v="6"/>
    <x v="44"/>
    <x v="0"/>
    <x v="17"/>
    <x v="19"/>
    <x v="2"/>
    <x v="16"/>
    <x v="8"/>
  </r>
  <r>
    <x v="11"/>
    <x v="185"/>
    <x v="12"/>
    <x v="14"/>
    <x v="109"/>
    <x v="44"/>
    <x v="0"/>
    <x v="17"/>
    <x v="19"/>
    <x v="2"/>
    <x v="16"/>
    <x v="8"/>
  </r>
  <r>
    <x v="11"/>
    <x v="187"/>
    <x v="14"/>
    <x v="6"/>
    <x v="6"/>
    <x v="44"/>
    <x v="0"/>
    <x v="20"/>
    <x v="22"/>
    <x v="5"/>
    <x v="16"/>
    <x v="18"/>
  </r>
  <r>
    <x v="11"/>
    <x v="200"/>
    <x v="147"/>
    <x v="6"/>
    <x v="106"/>
    <x v="44"/>
    <x v="0"/>
    <x v="15"/>
    <x v="17"/>
    <x v="14"/>
    <x v="16"/>
    <x v="2"/>
  </r>
  <r>
    <x v="11"/>
    <x v="200"/>
    <x v="147"/>
    <x v="6"/>
    <x v="106"/>
    <x v="44"/>
    <x v="0"/>
    <x v="15"/>
    <x v="17"/>
    <x v="14"/>
    <x v="16"/>
    <x v="2"/>
  </r>
  <r>
    <x v="11"/>
    <x v="200"/>
    <x v="147"/>
    <x v="10"/>
    <x v="106"/>
    <x v="44"/>
    <x v="0"/>
    <x v="16"/>
    <x v="18"/>
    <x v="14"/>
    <x v="16"/>
    <x v="6"/>
  </r>
  <r>
    <x v="11"/>
    <x v="200"/>
    <x v="147"/>
    <x v="12"/>
    <x v="162"/>
    <x v="44"/>
    <x v="0"/>
    <x v="16"/>
    <x v="18"/>
    <x v="14"/>
    <x v="16"/>
    <x v="6"/>
  </r>
  <r>
    <x v="11"/>
    <x v="186"/>
    <x v="13"/>
    <x v="6"/>
    <x v="106"/>
    <x v="44"/>
    <x v="2"/>
    <x v="17"/>
    <x v="19"/>
    <x v="1"/>
    <x v="16"/>
    <x v="8"/>
  </r>
  <r>
    <x v="11"/>
    <x v="14"/>
    <x v="96"/>
    <x v="24"/>
    <x v="119"/>
    <x v="44"/>
    <x v="2"/>
    <x v="18"/>
    <x v="20"/>
    <x v="12"/>
    <x v="16"/>
    <x v="11"/>
  </r>
  <r>
    <x v="11"/>
    <x v="185"/>
    <x v="12"/>
    <x v="6"/>
    <x v="6"/>
    <x v="44"/>
    <x v="2"/>
    <x v="6"/>
    <x v="7"/>
    <x v="2"/>
    <x v="16"/>
    <x v="11"/>
  </r>
  <r>
    <x v="11"/>
    <x v="185"/>
    <x v="12"/>
    <x v="10"/>
    <x v="210"/>
    <x v="44"/>
    <x v="5"/>
    <x v="15"/>
    <x v="17"/>
    <x v="2"/>
    <x v="16"/>
    <x v="2"/>
  </r>
  <r>
    <x v="11"/>
    <x v="186"/>
    <x v="13"/>
    <x v="10"/>
    <x v="130"/>
    <x v="44"/>
    <x v="5"/>
    <x v="16"/>
    <x v="18"/>
    <x v="1"/>
    <x v="16"/>
    <x v="6"/>
  </r>
  <r>
    <x v="11"/>
    <x v="187"/>
    <x v="14"/>
    <x v="16"/>
    <x v="130"/>
    <x v="44"/>
    <x v="5"/>
    <x v="18"/>
    <x v="20"/>
    <x v="5"/>
    <x v="16"/>
    <x v="11"/>
  </r>
  <r>
    <x v="11"/>
    <x v="185"/>
    <x v="12"/>
    <x v="10"/>
    <x v="130"/>
    <x v="44"/>
    <x v="5"/>
    <x v="8"/>
    <x v="9"/>
    <x v="2"/>
    <x v="16"/>
    <x v="16"/>
  </r>
  <r>
    <x v="11"/>
    <x v="175"/>
    <x v="47"/>
    <x v="5"/>
    <x v="211"/>
    <x v="44"/>
    <x v="5"/>
    <x v="3"/>
    <x v="3"/>
    <x v="1"/>
    <x v="16"/>
    <x v="6"/>
  </r>
  <r>
    <x v="11"/>
    <x v="187"/>
    <x v="14"/>
    <x v="10"/>
    <x v="206"/>
    <x v="44"/>
    <x v="10"/>
    <x v="18"/>
    <x v="20"/>
    <x v="5"/>
    <x v="16"/>
    <x v="11"/>
  </r>
  <r>
    <x v="11"/>
    <x v="204"/>
    <x v="148"/>
    <x v="6"/>
    <x v="67"/>
    <x v="44"/>
    <x v="10"/>
    <x v="15"/>
    <x v="17"/>
    <x v="0"/>
    <x v="16"/>
    <x v="2"/>
  </r>
  <r>
    <x v="11"/>
    <x v="185"/>
    <x v="12"/>
    <x v="14"/>
    <x v="206"/>
    <x v="44"/>
    <x v="10"/>
    <x v="3"/>
    <x v="3"/>
    <x v="2"/>
    <x v="16"/>
    <x v="6"/>
  </r>
  <r>
    <x v="11"/>
    <x v="187"/>
    <x v="14"/>
    <x v="18"/>
    <x v="67"/>
    <x v="44"/>
    <x v="11"/>
    <x v="4"/>
    <x v="5"/>
    <x v="5"/>
    <x v="16"/>
    <x v="8"/>
  </r>
  <r>
    <x v="11"/>
    <x v="14"/>
    <x v="96"/>
    <x v="23"/>
    <x v="119"/>
    <x v="44"/>
    <x v="11"/>
    <x v="18"/>
    <x v="20"/>
    <x v="12"/>
    <x v="16"/>
    <x v="11"/>
  </r>
  <r>
    <x v="11"/>
    <x v="204"/>
    <x v="148"/>
    <x v="10"/>
    <x v="67"/>
    <x v="44"/>
    <x v="11"/>
    <x v="19"/>
    <x v="21"/>
    <x v="0"/>
    <x v="16"/>
    <x v="16"/>
  </r>
  <r>
    <x v="11"/>
    <x v="185"/>
    <x v="12"/>
    <x v="16"/>
    <x v="67"/>
    <x v="44"/>
    <x v="11"/>
    <x v="6"/>
    <x v="7"/>
    <x v="2"/>
    <x v="16"/>
    <x v="1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2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A4" firstHeaderRow="1" firstDataRow="1" firstDataCol="0"/>
  <pivotFields count="12">
    <pivotField compact="0" showAll="0"/>
    <pivotField compact="0" showAll="0"/>
    <pivotField showAll="0"/>
    <pivotField compact="0" showAll="0"/>
    <pivotField showAll="0"/>
    <pivotField showAll="0"/>
    <pivotField showAll="0"/>
    <pivotField compact="0" showAll="0"/>
    <pivotField compact="0" showAll="0"/>
    <pivotField compact="0" showAll="0"/>
    <pivotField showAll="0"/>
    <pivotField compact="0" showAll="0"/>
  </pivotFields>
  <rowItems count="1">
    <i/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19.14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0"/>
  <sheetViews>
    <sheetView showFormulas="false" showGridLines="true" showRowColHeaders="true" showZeros="true" rightToLeft="false" tabSelected="true" showOutlineSymbols="true" defaultGridColor="true" view="normal" topLeftCell="J1" colorId="64" zoomScale="120" zoomScaleNormal="120" zoomScalePageLayoutView="100" workbookViewId="0">
      <selection pane="topLeft" activeCell="N4" activeCellId="0" sqref="N4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4" width="22.71"/>
    <col collapsed="false" customWidth="true" hidden="false" outlineLevel="0" max="2" min="2" style="5" width="9.71"/>
    <col collapsed="false" customWidth="true" hidden="false" outlineLevel="0" max="3" min="3" style="5" width="29.71"/>
    <col collapsed="false" customWidth="true" hidden="false" outlineLevel="0" max="4" min="4" style="5" width="16.86"/>
    <col collapsed="false" customWidth="true" hidden="false" outlineLevel="0" max="5" min="5" style="5" width="55"/>
    <col collapsed="false" customWidth="false" hidden="false" outlineLevel="0" max="6" min="6" style="4" width="9.14"/>
    <col collapsed="false" customWidth="true" hidden="false" outlineLevel="0" max="7" min="7" style="6" width="20.29"/>
    <col collapsed="false" customWidth="true" hidden="false" outlineLevel="0" max="9" min="8" style="6" width="17.71"/>
    <col collapsed="false" customWidth="true" hidden="false" outlineLevel="0" max="10" min="10" style="4" width="16.71"/>
    <col collapsed="false" customWidth="true" hidden="false" outlineLevel="0" max="11" min="11" style="5" width="22.43"/>
    <col collapsed="false" customWidth="true" hidden="false" outlineLevel="0" max="12" min="12" style="4" width="73"/>
    <col collapsed="false" customWidth="false" hidden="false" outlineLevel="0" max="16384" min="14" style="4" width="9.14"/>
  </cols>
  <sheetData>
    <row r="1" s="10" customFormat="true" ht="30.75" hidden="false" customHeight="true" outlineLevel="0" collapsed="false">
      <c r="A1" s="7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9" t="s">
        <v>12</v>
      </c>
      <c r="M1" s="9" t="s">
        <v>13</v>
      </c>
      <c r="N1" s="9" t="s">
        <v>14</v>
      </c>
      <c r="O1" s="9" t="s">
        <v>15</v>
      </c>
    </row>
    <row r="2" customFormat="false" ht="15" hidden="false" customHeight="false" outlineLevel="0" collapsed="false">
      <c r="A2" s="11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4" t="s">
        <v>21</v>
      </c>
      <c r="G2" s="13" t="s">
        <v>22</v>
      </c>
      <c r="H2" s="14" t="n">
        <v>0.416666666666667</v>
      </c>
      <c r="I2" s="14" t="n">
        <v>0.5</v>
      </c>
      <c r="J2" s="15" t="n">
        <v>56</v>
      </c>
      <c r="K2" s="12" t="s">
        <v>22</v>
      </c>
      <c r="L2" s="16" t="str">
        <f aca="false" t="array" ref="L2:L2">_xlfn.TEXTJOIN(", ",TRUE(),TEXT(H2+_xlfn.SEQUENCE(HOUR(I2-H2),1,0,1)/24,"hh:mm:ss") &amp; "-" &amp; TEXT(H2+_xlfn.SEQUENCE(HOUR(I2-H2),1,1,1)/24,"hh:mm:ss"))</f>
        <v>10:00:00-11:00:00, 11:00:00-12:00:00</v>
      </c>
      <c r="M2" s="1" t="str">
        <f aca="false">IF(F2="","Não alocada","Alocada")</f>
        <v>Alocada</v>
      </c>
      <c r="N2" s="17" t="s">
        <v>23</v>
      </c>
      <c r="O2" s="17" t="s">
        <v>24</v>
      </c>
    </row>
    <row r="3" customFormat="false" ht="15" hidden="false" customHeight="false" outlineLevel="0" collapsed="false">
      <c r="A3" s="18" t="s">
        <v>16</v>
      </c>
      <c r="B3" s="19" t="s">
        <v>25</v>
      </c>
      <c r="C3" s="19" t="s">
        <v>26</v>
      </c>
      <c r="D3" s="19" t="s">
        <v>27</v>
      </c>
      <c r="E3" s="19" t="s">
        <v>28</v>
      </c>
      <c r="F3" s="4" t="s">
        <v>21</v>
      </c>
      <c r="G3" s="20" t="s">
        <v>29</v>
      </c>
      <c r="H3" s="21" t="n">
        <v>0.583333333333333</v>
      </c>
      <c r="I3" s="21" t="n">
        <v>0.666666666666667</v>
      </c>
      <c r="J3" s="22" t="n">
        <v>30</v>
      </c>
      <c r="K3" s="19" t="s">
        <v>29</v>
      </c>
      <c r="L3" s="23" t="str">
        <f aca="false" t="array" ref="L3:L3">_xlfn.TEXTJOIN(", ",TRUE(),TEXT(H3+_xlfn.SEQUENCE(HOUR(I3-H3),1,0,1)/24,"hh:mm:ss") &amp; "-" &amp; TEXT(H3+_xlfn.SEQUENCE(HOUR(I3-H3),1,1,1)/24,"hh:mm:ss"))</f>
        <v>14:00:00-15:00:00, 15:00:00-16:00:00</v>
      </c>
      <c r="M3" s="1" t="str">
        <f aca="false">IF(F3="","Não alocada","Alocada")</f>
        <v>Alocada</v>
      </c>
      <c r="N3" s="17" t="s">
        <v>23</v>
      </c>
      <c r="O3" s="17" t="s">
        <v>24</v>
      </c>
    </row>
    <row r="4" customFormat="false" ht="15" hidden="false" customHeight="false" outlineLevel="0" collapsed="false">
      <c r="A4" s="18" t="s">
        <v>16</v>
      </c>
      <c r="B4" s="19" t="s">
        <v>30</v>
      </c>
      <c r="C4" s="19" t="s">
        <v>31</v>
      </c>
      <c r="D4" s="19" t="s">
        <v>32</v>
      </c>
      <c r="E4" s="19" t="s">
        <v>33</v>
      </c>
      <c r="F4" s="4" t="s">
        <v>21</v>
      </c>
      <c r="G4" s="20" t="s">
        <v>34</v>
      </c>
      <c r="H4" s="21" t="n">
        <v>0.416666666666667</v>
      </c>
      <c r="I4" s="21" t="n">
        <v>0.5</v>
      </c>
      <c r="J4" s="22" t="n">
        <v>41</v>
      </c>
      <c r="K4" s="19" t="s">
        <v>34</v>
      </c>
      <c r="L4" s="23" t="str">
        <f aca="false" t="array" ref="L4:L4">_xlfn.TEXTJOIN(", ",TRUE(),TEXT(H4+_xlfn.SEQUENCE(HOUR(I4-H4),1,0,1)/24,"hh:mm:ss") &amp; "-" &amp; TEXT(H4+_xlfn.SEQUENCE(HOUR(I4-H4),1,1,1)/24,"hh:mm:ss"))</f>
        <v>10:00:00-11:00:00, 11:00:00-12:00:00</v>
      </c>
      <c r="M4" s="1" t="str">
        <f aca="false">IF(F4="","Não alocada","Alocada")</f>
        <v>Alocada</v>
      </c>
      <c r="N4" s="17" t="s">
        <v>23</v>
      </c>
      <c r="O4" s="17" t="s">
        <v>24</v>
      </c>
    </row>
    <row r="5" customFormat="false" ht="15" hidden="false" customHeight="false" outlineLevel="0" collapsed="false">
      <c r="A5" s="18" t="s">
        <v>35</v>
      </c>
      <c r="B5" s="24" t="s">
        <v>36</v>
      </c>
      <c r="C5" s="24" t="s">
        <v>37</v>
      </c>
      <c r="D5" s="19" t="s">
        <v>27</v>
      </c>
      <c r="E5" s="24" t="s">
        <v>38</v>
      </c>
      <c r="F5" s="4" t="s">
        <v>21</v>
      </c>
      <c r="G5" s="20" t="s">
        <v>29</v>
      </c>
      <c r="H5" s="25" t="n">
        <v>0.583333333333333</v>
      </c>
      <c r="I5" s="25" t="n">
        <v>0.666666666666667</v>
      </c>
      <c r="J5" s="22" t="n">
        <v>61</v>
      </c>
      <c r="K5" s="19" t="s">
        <v>29</v>
      </c>
      <c r="L5" s="23" t="str">
        <f aca="false" t="array" ref="L5:L5">_xlfn.TEXTJOIN(", ",TRUE(),TEXT(H5+_xlfn.SEQUENCE(HOUR(I5-H5),1,0,1)/24,"hh:mm:ss") &amp; "-" &amp; TEXT(H5+_xlfn.SEQUENCE(HOUR(I5-H5),1,1,1)/24,"hh:mm:ss"))</f>
        <v>14:00:00-15:00:00, 15:00:00-16:00:00</v>
      </c>
      <c r="M5" s="1" t="str">
        <f aca="false">IF(F5="","Não alocada","Alocada")</f>
        <v>Alocada</v>
      </c>
      <c r="N5" s="17" t="s">
        <v>23</v>
      </c>
      <c r="O5" s="17" t="s">
        <v>24</v>
      </c>
    </row>
    <row r="6" customFormat="false" ht="15" hidden="false" customHeight="false" outlineLevel="0" collapsed="false">
      <c r="A6" s="18" t="s">
        <v>35</v>
      </c>
      <c r="B6" s="24" t="s">
        <v>39</v>
      </c>
      <c r="C6" s="24" t="s">
        <v>40</v>
      </c>
      <c r="D6" s="19" t="s">
        <v>41</v>
      </c>
      <c r="E6" s="24" t="s">
        <v>42</v>
      </c>
      <c r="F6" s="4" t="s">
        <v>21</v>
      </c>
      <c r="G6" s="20" t="s">
        <v>43</v>
      </c>
      <c r="H6" s="25" t="n">
        <v>0.416666666666667</v>
      </c>
      <c r="I6" s="25" t="n">
        <v>0.5</v>
      </c>
      <c r="J6" s="22" t="n">
        <v>56</v>
      </c>
      <c r="K6" s="19" t="s">
        <v>43</v>
      </c>
      <c r="L6" s="23" t="str">
        <f aca="false" t="array" ref="L6:L6">_xlfn.TEXTJOIN(", ",TRUE(),TEXT(H6+_xlfn.SEQUENCE(HOUR(I6-H6),1,0,1)/24,"hh:mm:ss") &amp; "-" &amp; TEXT(H6+_xlfn.SEQUENCE(HOUR(I6-H6),1,1,1)/24,"hh:mm:ss"))</f>
        <v>10:00:00-11:00:00, 11:00:00-12:00:00</v>
      </c>
      <c r="M6" s="1" t="str">
        <f aca="false">IF(F6="","Não alocada","Alocada")</f>
        <v>Alocada</v>
      </c>
      <c r="N6" s="17" t="s">
        <v>23</v>
      </c>
      <c r="O6" s="17" t="s">
        <v>24</v>
      </c>
    </row>
    <row r="7" customFormat="false" ht="15" hidden="false" customHeight="false" outlineLevel="0" collapsed="false">
      <c r="A7" s="18" t="s">
        <v>35</v>
      </c>
      <c r="B7" s="24" t="s">
        <v>25</v>
      </c>
      <c r="C7" s="24" t="s">
        <v>26</v>
      </c>
      <c r="D7" s="19" t="s">
        <v>32</v>
      </c>
      <c r="E7" s="24" t="s">
        <v>44</v>
      </c>
      <c r="F7" s="4" t="s">
        <v>21</v>
      </c>
      <c r="G7" s="20" t="s">
        <v>45</v>
      </c>
      <c r="H7" s="25" t="n">
        <v>0.333333333333333</v>
      </c>
      <c r="I7" s="25" t="n">
        <v>0.416666666666667</v>
      </c>
      <c r="J7" s="22" t="n">
        <v>30</v>
      </c>
      <c r="K7" s="19" t="s">
        <v>45</v>
      </c>
      <c r="L7" s="23" t="str">
        <f aca="false" t="array" ref="L7:L7">_xlfn.TEXTJOIN(", ",TRUE(),TEXT(H7+_xlfn.SEQUENCE(HOUR(I7-H7),1,0,1)/24,"hh:mm:ss") &amp; "-" &amp; TEXT(H7+_xlfn.SEQUENCE(HOUR(I7-H7),1,1,1)/24,"hh:mm:ss"))</f>
        <v>08:00:00-09:00:00, 09:00:00-10:00:00</v>
      </c>
      <c r="M7" s="1" t="str">
        <f aca="false">IF(F7="","Não alocada","Alocada")</f>
        <v>Alocada</v>
      </c>
      <c r="N7" s="17" t="s">
        <v>23</v>
      </c>
      <c r="O7" s="17" t="s">
        <v>24</v>
      </c>
    </row>
    <row r="8" customFormat="false" ht="15" hidden="false" customHeight="false" outlineLevel="0" collapsed="false">
      <c r="A8" s="18" t="s">
        <v>35</v>
      </c>
      <c r="B8" s="24" t="s">
        <v>46</v>
      </c>
      <c r="C8" s="24" t="s">
        <v>47</v>
      </c>
      <c r="D8" s="19" t="s">
        <v>48</v>
      </c>
      <c r="E8" s="24"/>
      <c r="F8" s="4" t="s">
        <v>21</v>
      </c>
      <c r="G8" s="20" t="s">
        <v>34</v>
      </c>
      <c r="H8" s="25" t="n">
        <v>0.333333333333333</v>
      </c>
      <c r="I8" s="25" t="n">
        <v>0.416666666666667</v>
      </c>
      <c r="J8" s="22" t="n">
        <v>45</v>
      </c>
      <c r="K8" s="19" t="s">
        <v>34</v>
      </c>
      <c r="L8" s="23" t="str">
        <f aca="false" t="array" ref="L8:L8">_xlfn.TEXTJOIN(", ",TRUE(),TEXT(H8+_xlfn.SEQUENCE(HOUR(I8-H8),1,0,1)/24,"hh:mm:ss") &amp; "-" &amp; TEXT(H8+_xlfn.SEQUENCE(HOUR(I8-H8),1,1,1)/24,"hh:mm:ss"))</f>
        <v>08:00:00-09:00:00, 09:00:00-10:00:00</v>
      </c>
      <c r="M8" s="1" t="str">
        <f aca="false">IF(F8="","Não alocada","Alocada")</f>
        <v>Alocada</v>
      </c>
      <c r="N8" s="17" t="s">
        <v>23</v>
      </c>
      <c r="O8" s="17" t="s">
        <v>24</v>
      </c>
    </row>
    <row r="9" customFormat="false" ht="15" hidden="false" customHeight="false" outlineLevel="0" collapsed="false">
      <c r="A9" s="18" t="s">
        <v>35</v>
      </c>
      <c r="B9" s="24" t="s">
        <v>49</v>
      </c>
      <c r="C9" s="24" t="s">
        <v>50</v>
      </c>
      <c r="D9" s="19" t="s">
        <v>27</v>
      </c>
      <c r="E9" s="24" t="s">
        <v>51</v>
      </c>
      <c r="F9" s="4" t="s">
        <v>21</v>
      </c>
      <c r="G9" s="20" t="s">
        <v>34</v>
      </c>
      <c r="H9" s="25" t="n">
        <v>0.333333333333333</v>
      </c>
      <c r="I9" s="25" t="n">
        <v>0.416666666666667</v>
      </c>
      <c r="J9" s="22" t="n">
        <v>55</v>
      </c>
      <c r="K9" s="19" t="s">
        <v>34</v>
      </c>
      <c r="L9" s="23" t="str">
        <f aca="false" t="array" ref="L9:L9">_xlfn.TEXTJOIN(", ",TRUE(),TEXT(H9+_xlfn.SEQUENCE(HOUR(I9-H9),1,0,1)/24,"hh:mm:ss") &amp; "-" &amp; TEXT(H9+_xlfn.SEQUENCE(HOUR(I9-H9),1,1,1)/24,"hh:mm:ss"))</f>
        <v>08:00:00-09:00:00, 09:00:00-10:00:00</v>
      </c>
      <c r="M9" s="1" t="str">
        <f aca="false">IF(F9="","Não alocada","Alocada")</f>
        <v>Alocada</v>
      </c>
      <c r="N9" s="17" t="s">
        <v>23</v>
      </c>
      <c r="O9" s="17" t="s">
        <v>24</v>
      </c>
    </row>
    <row r="10" customFormat="false" ht="15" hidden="false" customHeight="false" outlineLevel="0" collapsed="false">
      <c r="A10" s="18" t="s">
        <v>52</v>
      </c>
      <c r="B10" s="26" t="s">
        <v>53</v>
      </c>
      <c r="C10" s="26" t="s">
        <v>54</v>
      </c>
      <c r="D10" s="19" t="s">
        <v>27</v>
      </c>
      <c r="E10" s="26" t="s">
        <v>55</v>
      </c>
      <c r="F10" s="4" t="s">
        <v>21</v>
      </c>
      <c r="G10" s="20" t="s">
        <v>56</v>
      </c>
      <c r="H10" s="27" t="n">
        <v>0.416666666666667</v>
      </c>
      <c r="I10" s="27" t="n">
        <v>0.5</v>
      </c>
      <c r="J10" s="22" t="n">
        <v>44</v>
      </c>
      <c r="K10" s="19" t="s">
        <v>56</v>
      </c>
      <c r="L10" s="23" t="str">
        <f aca="false" t="array" ref="L10:L10">_xlfn.TEXTJOIN(", ",TRUE(),TEXT(H10+_xlfn.SEQUENCE(HOUR(I10-H10),1,0,1)/24,"hh:mm:ss") &amp; "-" &amp; TEXT(H10+_xlfn.SEQUENCE(HOUR(I10-H10),1,1,1)/24,"hh:mm:ss"))</f>
        <v>10:00:00-11:00:00, 11:00:00-12:00:00</v>
      </c>
      <c r="M10" s="1" t="str">
        <f aca="false">IF(F10="","Não alocada","Alocada")</f>
        <v>Alocada</v>
      </c>
      <c r="N10" s="17" t="s">
        <v>23</v>
      </c>
      <c r="O10" s="17" t="s">
        <v>24</v>
      </c>
    </row>
    <row r="11" customFormat="false" ht="15" hidden="false" customHeight="false" outlineLevel="0" collapsed="false">
      <c r="A11" s="18" t="s">
        <v>52</v>
      </c>
      <c r="B11" s="26" t="s">
        <v>25</v>
      </c>
      <c r="C11" s="26" t="s">
        <v>26</v>
      </c>
      <c r="D11" s="19" t="s">
        <v>57</v>
      </c>
      <c r="E11" s="26"/>
      <c r="F11" s="4" t="s">
        <v>21</v>
      </c>
      <c r="G11" s="20" t="s">
        <v>56</v>
      </c>
      <c r="H11" s="27" t="n">
        <v>0.416666666666667</v>
      </c>
      <c r="I11" s="27" t="n">
        <v>0.5</v>
      </c>
      <c r="J11" s="22" t="n">
        <v>30</v>
      </c>
      <c r="K11" s="19" t="s">
        <v>56</v>
      </c>
      <c r="L11" s="23" t="str">
        <f aca="false" t="array" ref="L11:L11">_xlfn.TEXTJOIN(", ",TRUE(),TEXT(H11+_xlfn.SEQUENCE(HOUR(I11-H11),1,0,1)/24,"hh:mm:ss") &amp; "-" &amp; TEXT(H11+_xlfn.SEQUENCE(HOUR(I11-H11),1,1,1)/24,"hh:mm:ss"))</f>
        <v>10:00:00-11:00:00, 11:00:00-12:00:00</v>
      </c>
      <c r="M11" s="1" t="str">
        <f aca="false">IF(F11="","Não alocada","Alocada")</f>
        <v>Alocada</v>
      </c>
      <c r="N11" s="17" t="s">
        <v>23</v>
      </c>
      <c r="O11" s="17" t="s">
        <v>24</v>
      </c>
    </row>
    <row r="12" customFormat="false" ht="15" hidden="false" customHeight="false" outlineLevel="0" collapsed="false">
      <c r="A12" s="18" t="s">
        <v>52</v>
      </c>
      <c r="B12" s="26" t="s">
        <v>53</v>
      </c>
      <c r="C12" s="26" t="s">
        <v>54</v>
      </c>
      <c r="D12" s="19" t="s">
        <v>41</v>
      </c>
      <c r="E12" s="26" t="s">
        <v>55</v>
      </c>
      <c r="F12" s="4" t="s">
        <v>21</v>
      </c>
      <c r="G12" s="20" t="s">
        <v>22</v>
      </c>
      <c r="H12" s="27" t="n">
        <v>0.416666666666667</v>
      </c>
      <c r="I12" s="27" t="n">
        <v>0.5</v>
      </c>
      <c r="J12" s="22" t="n">
        <v>44</v>
      </c>
      <c r="K12" s="19" t="s">
        <v>22</v>
      </c>
      <c r="L12" s="23" t="str">
        <f aca="false" t="array" ref="L12:L12">_xlfn.TEXTJOIN(", ",TRUE(),TEXT(H12+_xlfn.SEQUENCE(HOUR(I12-H12),1,0,1)/24,"hh:mm:ss") &amp; "-" &amp; TEXT(H12+_xlfn.SEQUENCE(HOUR(I12-H12),1,1,1)/24,"hh:mm:ss"))</f>
        <v>10:00:00-11:00:00, 11:00:00-12:00:00</v>
      </c>
      <c r="M12" s="1" t="str">
        <f aca="false">IF(F12="","Não alocada","Alocada")</f>
        <v>Alocada</v>
      </c>
      <c r="N12" s="17" t="s">
        <v>23</v>
      </c>
      <c r="O12" s="17" t="s">
        <v>24</v>
      </c>
    </row>
    <row r="13" customFormat="false" ht="15" hidden="false" customHeight="false" outlineLevel="0" collapsed="false">
      <c r="A13" s="18" t="s">
        <v>52</v>
      </c>
      <c r="B13" s="26" t="s">
        <v>46</v>
      </c>
      <c r="C13" s="26" t="s">
        <v>47</v>
      </c>
      <c r="D13" s="19" t="s">
        <v>32</v>
      </c>
      <c r="E13" s="26" t="s">
        <v>58</v>
      </c>
      <c r="F13" s="4" t="s">
        <v>21</v>
      </c>
      <c r="G13" s="20" t="s">
        <v>29</v>
      </c>
      <c r="H13" s="27" t="n">
        <v>0.666666666666667</v>
      </c>
      <c r="I13" s="27" t="n">
        <v>0.75</v>
      </c>
      <c r="J13" s="22" t="n">
        <v>45</v>
      </c>
      <c r="K13" s="19" t="s">
        <v>29</v>
      </c>
      <c r="L13" s="23" t="str">
        <f aca="false" t="array" ref="L13:L13">_xlfn.TEXTJOIN(", ",TRUE(),TEXT(H13+_xlfn.SEQUENCE(HOUR(I13-H13),1,0,1)/24,"hh:mm:ss") &amp; "-" &amp; TEXT(H13+_xlfn.SEQUENCE(HOUR(I13-H13),1,1,1)/24,"hh:mm:ss"))</f>
        <v>16:00:00-17:00:00, 17:00:00-18:00:00</v>
      </c>
      <c r="M13" s="1" t="str">
        <f aca="false">IF(F13="","Não alocada","Alocada")</f>
        <v>Alocada</v>
      </c>
      <c r="N13" s="17" t="s">
        <v>23</v>
      </c>
      <c r="O13" s="17" t="s">
        <v>24</v>
      </c>
    </row>
    <row r="14" customFormat="false" ht="15" hidden="false" customHeight="false" outlineLevel="0" collapsed="false">
      <c r="A14" s="18" t="s">
        <v>52</v>
      </c>
      <c r="B14" s="26" t="s">
        <v>30</v>
      </c>
      <c r="C14" s="26" t="s">
        <v>31</v>
      </c>
      <c r="D14" s="19" t="s">
        <v>27</v>
      </c>
      <c r="E14" s="26" t="s">
        <v>59</v>
      </c>
      <c r="F14" s="4" t="s">
        <v>21</v>
      </c>
      <c r="G14" s="20" t="s">
        <v>29</v>
      </c>
      <c r="H14" s="27" t="n">
        <v>0.333333333333333</v>
      </c>
      <c r="I14" s="27" t="n">
        <v>0.416666666666667</v>
      </c>
      <c r="J14" s="22" t="n">
        <v>41</v>
      </c>
      <c r="K14" s="19" t="s">
        <v>29</v>
      </c>
      <c r="L14" s="23" t="str">
        <f aca="false" t="array" ref="L14:L14">_xlfn.TEXTJOIN(", ",TRUE(),TEXT(H14+_xlfn.SEQUENCE(HOUR(I14-H14),1,0,1)/24,"hh:mm:ss") &amp; "-" &amp; TEXT(H14+_xlfn.SEQUENCE(HOUR(I14-H14),1,1,1)/24,"hh:mm:ss"))</f>
        <v>08:00:00-09:00:00, 09:00:00-10:00:00</v>
      </c>
      <c r="M14" s="1" t="str">
        <f aca="false">IF(F14="","Não alocada","Alocada")</f>
        <v>Alocada</v>
      </c>
      <c r="N14" s="17" t="s">
        <v>23</v>
      </c>
      <c r="O14" s="17" t="s">
        <v>24</v>
      </c>
    </row>
    <row r="15" customFormat="false" ht="15" hidden="false" customHeight="false" outlineLevel="0" collapsed="false">
      <c r="A15" s="18" t="s">
        <v>52</v>
      </c>
      <c r="B15" s="26" t="s">
        <v>30</v>
      </c>
      <c r="C15" s="26" t="s">
        <v>31</v>
      </c>
      <c r="D15" s="19" t="s">
        <v>60</v>
      </c>
      <c r="E15" s="26" t="s">
        <v>59</v>
      </c>
      <c r="F15" s="4" t="s">
        <v>21</v>
      </c>
      <c r="G15" s="20" t="s">
        <v>29</v>
      </c>
      <c r="H15" s="27" t="n">
        <v>0.583333333333333</v>
      </c>
      <c r="I15" s="27" t="n">
        <v>0.666666666666667</v>
      </c>
      <c r="J15" s="22" t="n">
        <v>41</v>
      </c>
      <c r="K15" s="19" t="s">
        <v>29</v>
      </c>
      <c r="L15" s="23" t="str">
        <f aca="false" t="array" ref="L15:L15">_xlfn.TEXTJOIN(", ",TRUE(),TEXT(H15+_xlfn.SEQUENCE(HOUR(I15-H15),1,0,1)/24,"hh:mm:ss") &amp; "-" &amp; TEXT(H15+_xlfn.SEQUENCE(HOUR(I15-H15),1,1,1)/24,"hh:mm:ss"))</f>
        <v>14:00:00-15:00:00, 15:00:00-16:00:00</v>
      </c>
      <c r="M15" s="1" t="str">
        <f aca="false">IF(F15="","Não alocada","Alocada")</f>
        <v>Alocada</v>
      </c>
      <c r="N15" s="17" t="s">
        <v>23</v>
      </c>
      <c r="O15" s="17" t="s">
        <v>24</v>
      </c>
    </row>
    <row r="16" customFormat="false" ht="15" hidden="false" customHeight="false" outlineLevel="0" collapsed="false">
      <c r="A16" s="18" t="s">
        <v>52</v>
      </c>
      <c r="B16" s="26" t="s">
        <v>61</v>
      </c>
      <c r="C16" s="26" t="s">
        <v>62</v>
      </c>
      <c r="D16" s="19" t="s">
        <v>60</v>
      </c>
      <c r="E16" s="26" t="s">
        <v>63</v>
      </c>
      <c r="F16" s="4" t="s">
        <v>21</v>
      </c>
      <c r="G16" s="20" t="s">
        <v>29</v>
      </c>
      <c r="H16" s="27" t="n">
        <v>0.416666666666667</v>
      </c>
      <c r="I16" s="27" t="n">
        <v>0.5</v>
      </c>
      <c r="J16" s="22" t="n">
        <v>56</v>
      </c>
      <c r="K16" s="19" t="s">
        <v>29</v>
      </c>
      <c r="L16" s="23" t="str">
        <f aca="false" t="array" ref="L16:L16">_xlfn.TEXTJOIN(", ",TRUE(),TEXT(H16+_xlfn.SEQUENCE(HOUR(I16-H16),1,0,1)/24,"hh:mm:ss") &amp; "-" &amp; TEXT(H16+_xlfn.SEQUENCE(HOUR(I16-H16),1,1,1)/24,"hh:mm:ss"))</f>
        <v>10:00:00-11:00:00, 11:00:00-12:00:00</v>
      </c>
      <c r="M16" s="1" t="str">
        <f aca="false">IF(F16="","Não alocada","Alocada")</f>
        <v>Alocada</v>
      </c>
      <c r="N16" s="17" t="s">
        <v>23</v>
      </c>
      <c r="O16" s="17" t="s">
        <v>24</v>
      </c>
    </row>
    <row r="17" customFormat="false" ht="15" hidden="false" customHeight="false" outlineLevel="0" collapsed="false">
      <c r="A17" s="18" t="s">
        <v>52</v>
      </c>
      <c r="B17" s="26" t="s">
        <v>61</v>
      </c>
      <c r="C17" s="26" t="s">
        <v>62</v>
      </c>
      <c r="D17" s="19" t="s">
        <v>41</v>
      </c>
      <c r="E17" s="26" t="s">
        <v>64</v>
      </c>
      <c r="F17" s="4" t="s">
        <v>21</v>
      </c>
      <c r="G17" s="20" t="s">
        <v>29</v>
      </c>
      <c r="H17" s="27" t="n">
        <v>0.666666666666667</v>
      </c>
      <c r="I17" s="27" t="n">
        <v>0.75</v>
      </c>
      <c r="J17" s="22" t="n">
        <v>56</v>
      </c>
      <c r="K17" s="19" t="s">
        <v>29</v>
      </c>
      <c r="L17" s="23" t="str">
        <f aca="false" t="array" ref="L17:L17">_xlfn.TEXTJOIN(", ",TRUE(),TEXT(H17+_xlfn.SEQUENCE(HOUR(I17-H17),1,0,1)/24,"hh:mm:ss") &amp; "-" &amp; TEXT(H17+_xlfn.SEQUENCE(HOUR(I17-H17),1,1,1)/24,"hh:mm:ss"))</f>
        <v>16:00:00-17:00:00, 17:00:00-18:00:00</v>
      </c>
      <c r="M17" s="1" t="str">
        <f aca="false">IF(F17="","Não alocada","Alocada")</f>
        <v>Alocada</v>
      </c>
      <c r="N17" s="17" t="s">
        <v>23</v>
      </c>
      <c r="O17" s="17" t="s">
        <v>24</v>
      </c>
    </row>
    <row r="18" customFormat="false" ht="15" hidden="false" customHeight="false" outlineLevel="0" collapsed="false">
      <c r="A18" s="18" t="s">
        <v>52</v>
      </c>
      <c r="B18" s="26" t="s">
        <v>25</v>
      </c>
      <c r="C18" s="26" t="s">
        <v>26</v>
      </c>
      <c r="D18" s="19" t="s">
        <v>65</v>
      </c>
      <c r="E18" s="26"/>
      <c r="F18" s="4" t="s">
        <v>21</v>
      </c>
      <c r="G18" s="20" t="s">
        <v>66</v>
      </c>
      <c r="H18" s="27" t="n">
        <v>0.333333333333333</v>
      </c>
      <c r="I18" s="27" t="n">
        <v>0.416666666666667</v>
      </c>
      <c r="J18" s="22" t="n">
        <v>30</v>
      </c>
      <c r="K18" s="19" t="s">
        <v>66</v>
      </c>
      <c r="L18" s="23" t="str">
        <f aca="false" t="array" ref="L18:L18">_xlfn.TEXTJOIN(", ",TRUE(),TEXT(H18+_xlfn.SEQUENCE(HOUR(I18-H18),1,0,1)/24,"hh:mm:ss") &amp; "-" &amp; TEXT(H18+_xlfn.SEQUENCE(HOUR(I18-H18),1,1,1)/24,"hh:mm:ss"))</f>
        <v>08:00:00-09:00:00, 09:00:00-10:00:00</v>
      </c>
      <c r="M18" s="1" t="str">
        <f aca="false">IF(F18="","Não alocada","Alocada")</f>
        <v>Alocada</v>
      </c>
      <c r="N18" s="17" t="s">
        <v>23</v>
      </c>
      <c r="O18" s="17" t="s">
        <v>24</v>
      </c>
    </row>
    <row r="19" customFormat="false" ht="15" hidden="false" customHeight="false" outlineLevel="0" collapsed="false">
      <c r="A19" s="18" t="s">
        <v>52</v>
      </c>
      <c r="B19" s="26" t="s">
        <v>46</v>
      </c>
      <c r="C19" s="26" t="s">
        <v>47</v>
      </c>
      <c r="D19" s="19" t="s">
        <v>41</v>
      </c>
      <c r="E19" s="26" t="s">
        <v>67</v>
      </c>
      <c r="F19" s="4" t="s">
        <v>21</v>
      </c>
      <c r="G19" s="20" t="s">
        <v>34</v>
      </c>
      <c r="H19" s="27" t="n">
        <v>0.333333333333333</v>
      </c>
      <c r="I19" s="27" t="n">
        <v>0.416666666666667</v>
      </c>
      <c r="J19" s="22" t="n">
        <v>45</v>
      </c>
      <c r="K19" s="19" t="s">
        <v>34</v>
      </c>
      <c r="L19" s="23" t="str">
        <f aca="false" t="array" ref="L19:L19">_xlfn.TEXTJOIN(", ",TRUE(),TEXT(H19+_xlfn.SEQUENCE(HOUR(I19-H19),1,0,1)/24,"hh:mm:ss") &amp; "-" &amp; TEXT(H19+_xlfn.SEQUENCE(HOUR(I19-H19),1,1,1)/24,"hh:mm:ss"))</f>
        <v>08:00:00-09:00:00, 09:00:00-10:00:00</v>
      </c>
      <c r="M19" s="1" t="str">
        <f aca="false">IF(F19="","Não alocada","Alocada")</f>
        <v>Alocada</v>
      </c>
      <c r="N19" s="17" t="s">
        <v>23</v>
      </c>
      <c r="O19" s="17" t="s">
        <v>24</v>
      </c>
    </row>
    <row r="20" customFormat="false" ht="15" hidden="false" customHeight="false" outlineLevel="0" collapsed="false">
      <c r="A20" s="18" t="s">
        <v>52</v>
      </c>
      <c r="B20" s="26" t="s">
        <v>61</v>
      </c>
      <c r="C20" s="26" t="s">
        <v>62</v>
      </c>
      <c r="D20" s="19" t="s">
        <v>32</v>
      </c>
      <c r="E20" s="26" t="s">
        <v>68</v>
      </c>
      <c r="F20" s="4" t="s">
        <v>21</v>
      </c>
      <c r="G20" s="20" t="s">
        <v>34</v>
      </c>
      <c r="H20" s="27" t="n">
        <v>0.583333333333333</v>
      </c>
      <c r="I20" s="27" t="n">
        <v>0.666666666666667</v>
      </c>
      <c r="J20" s="22" t="n">
        <v>56</v>
      </c>
      <c r="K20" s="19" t="s">
        <v>34</v>
      </c>
      <c r="L20" s="23" t="str">
        <f aca="false" t="array" ref="L20:L20">_xlfn.TEXTJOIN(", ",TRUE(),TEXT(H20+_xlfn.SEQUENCE(HOUR(I20-H20),1,0,1)/24,"hh:mm:ss") &amp; "-" &amp; TEXT(H20+_xlfn.SEQUENCE(HOUR(I20-H20),1,1,1)/24,"hh:mm:ss"))</f>
        <v>14:00:00-15:00:00, 15:00:00-16:00:00</v>
      </c>
      <c r="M20" s="1" t="str">
        <f aca="false">IF(F20="","Não alocada","Alocada")</f>
        <v>Alocada</v>
      </c>
      <c r="N20" s="17" t="s">
        <v>23</v>
      </c>
      <c r="O20" s="17" t="s">
        <v>24</v>
      </c>
    </row>
    <row r="21" customFormat="false" ht="15" hidden="false" customHeight="false" outlineLevel="0" collapsed="false">
      <c r="A21" s="28" t="s">
        <v>69</v>
      </c>
      <c r="B21" s="26" t="s">
        <v>30</v>
      </c>
      <c r="C21" s="26" t="s">
        <v>70</v>
      </c>
      <c r="D21" s="19" t="s">
        <v>57</v>
      </c>
      <c r="E21" s="26" t="s">
        <v>71</v>
      </c>
      <c r="F21" s="4" t="s">
        <v>21</v>
      </c>
      <c r="G21" s="20" t="s">
        <v>29</v>
      </c>
      <c r="H21" s="27" t="n">
        <v>0.666666666666667</v>
      </c>
      <c r="I21" s="27" t="n">
        <v>0.75</v>
      </c>
      <c r="J21" s="22" t="n">
        <v>41</v>
      </c>
      <c r="K21" s="29"/>
      <c r="L21" s="23" t="str">
        <f aca="false" t="array" ref="L21:L21">_xlfn.TEXTJOIN(", ",TRUE(),TEXT(H21+_xlfn.SEQUENCE(HOUR(I21-H21),1,0,1)/24,"hh:mm:ss") &amp; "-" &amp; TEXT(H21+_xlfn.SEQUENCE(HOUR(I21-H21),1,1,1)/24,"hh:mm:ss"))</f>
        <v>16:00:00-17:00:00, 17:00:00-18:00:00</v>
      </c>
      <c r="M21" s="1" t="str">
        <f aca="false">IF(F21="","Não alocada","Alocada")</f>
        <v>Alocada</v>
      </c>
      <c r="N21" s="17" t="s">
        <v>23</v>
      </c>
      <c r="O21" s="17" t="s">
        <v>24</v>
      </c>
    </row>
    <row r="22" customFormat="false" ht="15" hidden="false" customHeight="false" outlineLevel="0" collapsed="false">
      <c r="A22" s="28" t="s">
        <v>69</v>
      </c>
      <c r="B22" s="26" t="s">
        <v>25</v>
      </c>
      <c r="C22" s="26" t="s">
        <v>26</v>
      </c>
      <c r="D22" s="19" t="s">
        <v>60</v>
      </c>
      <c r="E22" s="26"/>
      <c r="F22" s="4" t="s">
        <v>21</v>
      </c>
      <c r="G22" s="20" t="s">
        <v>66</v>
      </c>
      <c r="H22" s="27" t="n">
        <v>0.583333333333333</v>
      </c>
      <c r="I22" s="27" t="n">
        <v>0.666666666666667</v>
      </c>
      <c r="J22" s="22" t="n">
        <v>30</v>
      </c>
      <c r="K22" s="29"/>
      <c r="L22" s="23" t="str">
        <f aca="false" t="array" ref="L22:L22">_xlfn.TEXTJOIN(", ",TRUE(),TEXT(H22+_xlfn.SEQUENCE(HOUR(I22-H22),1,0,1)/24,"hh:mm:ss") &amp; "-" &amp; TEXT(H22+_xlfn.SEQUENCE(HOUR(I22-H22),1,1,1)/24,"hh:mm:ss"))</f>
        <v>14:00:00-15:00:00, 15:00:00-16:00:00</v>
      </c>
      <c r="M22" s="1" t="str">
        <f aca="false">IF(F22="","Não alocada","Alocada")</f>
        <v>Alocada</v>
      </c>
      <c r="N22" s="17" t="s">
        <v>23</v>
      </c>
      <c r="O22" s="17" t="s">
        <v>24</v>
      </c>
    </row>
    <row r="23" customFormat="false" ht="15" hidden="false" customHeight="false" outlineLevel="0" collapsed="false">
      <c r="A23" s="28" t="s">
        <v>69</v>
      </c>
      <c r="B23" s="26" t="s">
        <v>17</v>
      </c>
      <c r="C23" s="26" t="s">
        <v>72</v>
      </c>
      <c r="D23" s="19" t="s">
        <v>73</v>
      </c>
      <c r="E23" s="26" t="s">
        <v>74</v>
      </c>
      <c r="F23" s="4" t="s">
        <v>21</v>
      </c>
      <c r="G23" s="20" t="s">
        <v>34</v>
      </c>
      <c r="H23" s="27" t="n">
        <v>0.666666666666667</v>
      </c>
      <c r="I23" s="27" t="n">
        <v>0.75</v>
      </c>
      <c r="J23" s="22" t="n">
        <v>56</v>
      </c>
      <c r="K23" s="29"/>
      <c r="L23" s="23" t="str">
        <f aca="false" t="array" ref="L23:L23">_xlfn.TEXTJOIN(", ",TRUE(),TEXT(H23+_xlfn.SEQUENCE(HOUR(I23-H23),1,0,1)/24,"hh:mm:ss") &amp; "-" &amp; TEXT(H23+_xlfn.SEQUENCE(HOUR(I23-H23),1,1,1)/24,"hh:mm:ss"))</f>
        <v>16:00:00-17:00:00, 17:00:00-18:00:00</v>
      </c>
      <c r="M23" s="1" t="str">
        <f aca="false">IF(F23="","Não alocada","Alocada")</f>
        <v>Alocada</v>
      </c>
      <c r="N23" s="17" t="s">
        <v>23</v>
      </c>
      <c r="O23" s="17" t="s">
        <v>24</v>
      </c>
    </row>
    <row r="24" customFormat="false" ht="15" hidden="false" customHeight="false" outlineLevel="0" collapsed="false">
      <c r="A24" s="28" t="s">
        <v>69</v>
      </c>
      <c r="B24" s="26" t="s">
        <v>17</v>
      </c>
      <c r="C24" s="26" t="s">
        <v>72</v>
      </c>
      <c r="D24" s="19" t="s">
        <v>73</v>
      </c>
      <c r="E24" s="26" t="s">
        <v>74</v>
      </c>
      <c r="F24" s="4" t="s">
        <v>21</v>
      </c>
      <c r="G24" s="20" t="s">
        <v>34</v>
      </c>
      <c r="H24" s="27" t="n">
        <v>0.666666666666667</v>
      </c>
      <c r="I24" s="27" t="n">
        <v>0.75</v>
      </c>
      <c r="J24" s="22" t="n">
        <v>56</v>
      </c>
      <c r="K24" s="29"/>
      <c r="L24" s="23" t="str">
        <f aca="false" t="array" ref="L24:L24">_xlfn.TEXTJOIN(", ",TRUE(),TEXT(H24+_xlfn.SEQUENCE(HOUR(I24-H24),1,0,1)/24,"hh:mm:ss") &amp; "-" &amp; TEXT(H24+_xlfn.SEQUENCE(HOUR(I24-H24),1,1,1)/24,"hh:mm:ss"))</f>
        <v>16:00:00-17:00:00, 17:00:00-18:00:00</v>
      </c>
      <c r="M24" s="1" t="str">
        <f aca="false">IF(F24="","Não alocada","Alocada")</f>
        <v>Alocada</v>
      </c>
      <c r="N24" s="17" t="s">
        <v>23</v>
      </c>
      <c r="O24" s="17" t="s">
        <v>24</v>
      </c>
    </row>
    <row r="25" customFormat="false" ht="15" hidden="false" customHeight="false" outlineLevel="0" collapsed="false">
      <c r="A25" s="18" t="s">
        <v>75</v>
      </c>
      <c r="B25" s="26" t="s">
        <v>30</v>
      </c>
      <c r="C25" s="30" t="s">
        <v>31</v>
      </c>
      <c r="D25" s="19" t="s">
        <v>76</v>
      </c>
      <c r="E25" s="26"/>
      <c r="F25" s="4" t="s">
        <v>21</v>
      </c>
      <c r="G25" s="20" t="s">
        <v>29</v>
      </c>
      <c r="H25" s="27" t="n">
        <v>0.583333333333333</v>
      </c>
      <c r="I25" s="27" t="n">
        <v>0.666666666666667</v>
      </c>
      <c r="J25" s="22" t="n">
        <v>41</v>
      </c>
      <c r="K25" s="29"/>
      <c r="L25" s="23" t="str">
        <f aca="false" t="array" ref="L25:L25">_xlfn.TEXTJOIN(", ",TRUE(),TEXT(H25+_xlfn.SEQUENCE(HOUR(I25-H25),1,0,1)/24,"hh:mm:ss") &amp; "-" &amp; TEXT(H25+_xlfn.SEQUENCE(HOUR(I25-H25),1,1,1)/24,"hh:mm:ss"))</f>
        <v>14:00:00-15:00:00, 15:00:00-16:00:00</v>
      </c>
      <c r="M25" s="1" t="str">
        <f aca="false">IF(F25="","Não alocada","Alocada")</f>
        <v>Alocada</v>
      </c>
      <c r="N25" s="17" t="s">
        <v>23</v>
      </c>
      <c r="O25" s="17" t="s">
        <v>24</v>
      </c>
    </row>
    <row r="26" customFormat="false" ht="15" hidden="false" customHeight="false" outlineLevel="0" collapsed="false">
      <c r="A26" s="18" t="s">
        <v>75</v>
      </c>
      <c r="B26" s="26" t="s">
        <v>39</v>
      </c>
      <c r="C26" s="30" t="s">
        <v>40</v>
      </c>
      <c r="D26" s="19" t="s">
        <v>76</v>
      </c>
      <c r="E26" s="26"/>
      <c r="F26" s="4" t="s">
        <v>21</v>
      </c>
      <c r="G26" s="20" t="s">
        <v>34</v>
      </c>
      <c r="H26" s="27" t="n">
        <v>0.666666666666667</v>
      </c>
      <c r="I26" s="27" t="n">
        <v>0.75</v>
      </c>
      <c r="J26" s="22" t="n">
        <v>56</v>
      </c>
      <c r="K26" s="29"/>
      <c r="L26" s="23" t="str">
        <f aca="false" t="array" ref="L26:L26">_xlfn.TEXTJOIN(", ",TRUE(),TEXT(H26+_xlfn.SEQUENCE(HOUR(I26-H26),1,0,1)/24,"hh:mm:ss") &amp; "-" &amp; TEXT(H26+_xlfn.SEQUENCE(HOUR(I26-H26),1,1,1)/24,"hh:mm:ss"))</f>
        <v>16:00:00-17:00:00, 17:00:00-18:00:00</v>
      </c>
      <c r="M26" s="1" t="str">
        <f aca="false">IF(F26="","Não alocada","Alocada")</f>
        <v>Alocada</v>
      </c>
      <c r="N26" s="17" t="s">
        <v>23</v>
      </c>
      <c r="O26" s="17" t="s">
        <v>24</v>
      </c>
    </row>
    <row r="27" customFormat="false" ht="15" hidden="false" customHeight="false" outlineLevel="0" collapsed="false">
      <c r="A27" s="18" t="s">
        <v>77</v>
      </c>
      <c r="B27" s="26" t="s">
        <v>25</v>
      </c>
      <c r="C27" s="26" t="s">
        <v>26</v>
      </c>
      <c r="D27" s="19" t="s">
        <v>78</v>
      </c>
      <c r="E27" s="26" t="s">
        <v>79</v>
      </c>
      <c r="F27" s="4" t="s">
        <v>21</v>
      </c>
      <c r="G27" s="20" t="s">
        <v>56</v>
      </c>
      <c r="H27" s="27" t="n">
        <v>0.666666666666667</v>
      </c>
      <c r="I27" s="27" t="n">
        <v>0.75</v>
      </c>
      <c r="J27" s="22" t="n">
        <v>30</v>
      </c>
      <c r="K27" s="26" t="s">
        <v>80</v>
      </c>
      <c r="L27" s="23" t="str">
        <f aca="false" t="array" ref="L27:L27">_xlfn.TEXTJOIN(", ",TRUE(),TEXT(H27+_xlfn.SEQUENCE(HOUR(I27-H27),1,0,1)/24,"hh:mm:ss") &amp; "-" &amp; TEXT(H27+_xlfn.SEQUENCE(HOUR(I27-H27),1,1,1)/24,"hh:mm:ss"))</f>
        <v>16:00:00-17:00:00, 17:00:00-18:00:00</v>
      </c>
      <c r="M27" s="1" t="str">
        <f aca="false">IF(F27="","Não alocada","Alocada")</f>
        <v>Alocada</v>
      </c>
      <c r="N27" s="17" t="s">
        <v>23</v>
      </c>
      <c r="O27" s="17" t="s">
        <v>24</v>
      </c>
    </row>
    <row r="28" customFormat="false" ht="15" hidden="false" customHeight="false" outlineLevel="0" collapsed="false">
      <c r="A28" s="18" t="s">
        <v>77</v>
      </c>
      <c r="B28" s="26" t="s">
        <v>53</v>
      </c>
      <c r="C28" s="26" t="s">
        <v>54</v>
      </c>
      <c r="D28" s="19" t="s">
        <v>81</v>
      </c>
      <c r="E28" s="26" t="s">
        <v>55</v>
      </c>
      <c r="F28" s="4" t="s">
        <v>21</v>
      </c>
      <c r="G28" s="20" t="s">
        <v>22</v>
      </c>
      <c r="H28" s="27" t="n">
        <v>0.583333333333333</v>
      </c>
      <c r="I28" s="27" t="n">
        <v>0.666666666666667</v>
      </c>
      <c r="J28" s="22" t="n">
        <v>44</v>
      </c>
      <c r="K28" s="26" t="s">
        <v>80</v>
      </c>
      <c r="L28" s="23" t="str">
        <f aca="false" t="array" ref="L28:L28">_xlfn.TEXTJOIN(", ",TRUE(),TEXT(H28+_xlfn.SEQUENCE(HOUR(I28-H28),1,0,1)/24,"hh:mm:ss") &amp; "-" &amp; TEXT(H28+_xlfn.SEQUENCE(HOUR(I28-H28),1,1,1)/24,"hh:mm:ss"))</f>
        <v>14:00:00-15:00:00, 15:00:00-16:00:00</v>
      </c>
      <c r="M28" s="1" t="str">
        <f aca="false">IF(F28="","Não alocada","Alocada")</f>
        <v>Alocada</v>
      </c>
      <c r="N28" s="17" t="s">
        <v>23</v>
      </c>
      <c r="O28" s="17" t="s">
        <v>24</v>
      </c>
    </row>
    <row r="29" customFormat="false" ht="15" hidden="false" customHeight="false" outlineLevel="0" collapsed="false">
      <c r="A29" s="18" t="s">
        <v>82</v>
      </c>
      <c r="B29" s="26" t="s">
        <v>17</v>
      </c>
      <c r="C29" s="26" t="s">
        <v>18</v>
      </c>
      <c r="D29" s="19" t="s">
        <v>19</v>
      </c>
      <c r="E29" s="26" t="s">
        <v>74</v>
      </c>
      <c r="F29" s="4" t="s">
        <v>21</v>
      </c>
      <c r="G29" s="20" t="s">
        <v>34</v>
      </c>
      <c r="H29" s="27" t="n">
        <v>0.416666666666667</v>
      </c>
      <c r="I29" s="27" t="n">
        <v>0.5</v>
      </c>
      <c r="J29" s="22" t="n">
        <v>56</v>
      </c>
      <c r="K29" s="29"/>
      <c r="L29" s="23" t="str">
        <f aca="false" t="array" ref="L29:L29">_xlfn.TEXTJOIN(", ",TRUE(),TEXT(H29+_xlfn.SEQUENCE(HOUR(I29-H29),1,0,1)/24,"hh:mm:ss") &amp; "-" &amp; TEXT(H29+_xlfn.SEQUENCE(HOUR(I29-H29),1,1,1)/24,"hh:mm:ss"))</f>
        <v>10:00:00-11:00:00, 11:00:00-12:00:00</v>
      </c>
      <c r="M29" s="1" t="str">
        <f aca="false">IF(F29="","Não alocada","Alocada")</f>
        <v>Alocada</v>
      </c>
      <c r="N29" s="17" t="s">
        <v>23</v>
      </c>
      <c r="O29" s="17" t="s">
        <v>24</v>
      </c>
    </row>
    <row r="30" customFormat="false" ht="15" hidden="false" customHeight="false" outlineLevel="0" collapsed="false">
      <c r="A30" s="18" t="s">
        <v>83</v>
      </c>
      <c r="B30" s="26" t="s">
        <v>39</v>
      </c>
      <c r="C30" s="26" t="s">
        <v>84</v>
      </c>
      <c r="D30" s="19" t="s">
        <v>76</v>
      </c>
      <c r="E30" s="26"/>
      <c r="F30" s="4" t="s">
        <v>21</v>
      </c>
      <c r="G30" s="20" t="s">
        <v>34</v>
      </c>
      <c r="H30" s="27" t="n">
        <v>0.666666666666667</v>
      </c>
      <c r="I30" s="27" t="n">
        <v>0.75</v>
      </c>
      <c r="J30" s="22" t="n">
        <v>56</v>
      </c>
      <c r="K30" s="29"/>
      <c r="L30" s="23" t="str">
        <f aca="false" t="array" ref="L30:L30">_xlfn.TEXTJOIN(", ",TRUE(),TEXT(H30+_xlfn.SEQUENCE(HOUR(I30-H30),1,0,1)/24,"hh:mm:ss") &amp; "-" &amp; TEXT(H30+_xlfn.SEQUENCE(HOUR(I30-H30),1,1,1)/24,"hh:mm:ss"))</f>
        <v>16:00:00-17:00:00, 17:00:00-18:00:00</v>
      </c>
      <c r="M30" s="1" t="str">
        <f aca="false">IF(F30="","Não alocada","Alocada")</f>
        <v>Alocada</v>
      </c>
      <c r="N30" s="17" t="s">
        <v>23</v>
      </c>
      <c r="O30" s="17" t="s">
        <v>24</v>
      </c>
    </row>
    <row r="31" customFormat="false" ht="15" hidden="false" customHeight="false" outlineLevel="0" collapsed="false">
      <c r="A31" s="18" t="s">
        <v>83</v>
      </c>
      <c r="B31" s="26" t="s">
        <v>85</v>
      </c>
      <c r="C31" s="26" t="s">
        <v>86</v>
      </c>
      <c r="D31" s="19" t="s">
        <v>76</v>
      </c>
      <c r="E31" s="26" t="s">
        <v>87</v>
      </c>
      <c r="F31" s="4" t="s">
        <v>21</v>
      </c>
      <c r="G31" s="20" t="s">
        <v>34</v>
      </c>
      <c r="H31" s="27" t="n">
        <v>0.666666666666667</v>
      </c>
      <c r="I31" s="27" t="n">
        <v>0.75</v>
      </c>
      <c r="J31" s="22" t="n">
        <v>50</v>
      </c>
      <c r="K31" s="29"/>
      <c r="L31" s="23" t="str">
        <f aca="false" t="array" ref="L31:L31">_xlfn.TEXTJOIN(", ",TRUE(),TEXT(H31+_xlfn.SEQUENCE(HOUR(I31-H31),1,0,1)/24,"hh:mm:ss") &amp; "-" &amp; TEXT(H31+_xlfn.SEQUENCE(HOUR(I31-H31),1,1,1)/24,"hh:mm:ss"))</f>
        <v>16:00:00-17:00:00, 17:00:00-18:00:00</v>
      </c>
      <c r="M31" s="1" t="str">
        <f aca="false">IF(F31="","Não alocada","Alocada")</f>
        <v>Alocada</v>
      </c>
      <c r="N31" s="17" t="s">
        <v>23</v>
      </c>
      <c r="O31" s="17" t="s">
        <v>24</v>
      </c>
    </row>
    <row r="32" customFormat="false" ht="15" hidden="false" customHeight="false" outlineLevel="0" collapsed="false">
      <c r="A32" s="18" t="s">
        <v>83</v>
      </c>
      <c r="B32" s="26" t="s">
        <v>88</v>
      </c>
      <c r="C32" s="26" t="s">
        <v>89</v>
      </c>
      <c r="D32" s="19" t="s">
        <v>76</v>
      </c>
      <c r="E32" s="26" t="s">
        <v>87</v>
      </c>
      <c r="F32" s="4" t="s">
        <v>21</v>
      </c>
      <c r="G32" s="20" t="s">
        <v>34</v>
      </c>
      <c r="H32" s="27" t="n">
        <v>0.75</v>
      </c>
      <c r="I32" s="27" t="n">
        <v>0.833333333333333</v>
      </c>
      <c r="J32" s="22" t="n">
        <v>31</v>
      </c>
      <c r="K32" s="29"/>
      <c r="L32" s="23" t="str">
        <f aca="false" t="array" ref="L32:L32">_xlfn.TEXTJOIN(", ",TRUE(),TEXT(H32+_xlfn.SEQUENCE(HOUR(I32-H32),1,0,1)/24,"hh:mm:ss") &amp; "-" &amp; TEXT(H32+_xlfn.SEQUENCE(HOUR(I32-H32),1,1,1)/24,"hh:mm:ss"))</f>
        <v>18:00:00-19:00:00, 19:00:00-20:00:00</v>
      </c>
      <c r="M32" s="1" t="str">
        <f aca="false">IF(F32="","Não alocada","Alocada")</f>
        <v>Alocada</v>
      </c>
      <c r="N32" s="17" t="s">
        <v>23</v>
      </c>
      <c r="O32" s="17" t="s">
        <v>24</v>
      </c>
    </row>
    <row r="33" customFormat="false" ht="15" hidden="false" customHeight="false" outlineLevel="0" collapsed="false">
      <c r="A33" s="18" t="s">
        <v>90</v>
      </c>
      <c r="B33" s="31" t="s">
        <v>30</v>
      </c>
      <c r="C33" s="31" t="s">
        <v>31</v>
      </c>
      <c r="D33" s="19" t="s">
        <v>41</v>
      </c>
      <c r="E33" s="31" t="s">
        <v>91</v>
      </c>
      <c r="F33" s="4" t="s">
        <v>21</v>
      </c>
      <c r="G33" s="20" t="s">
        <v>29</v>
      </c>
      <c r="H33" s="27" t="n">
        <v>0.333333333333333</v>
      </c>
      <c r="I33" s="27" t="n">
        <v>0.416666666666667</v>
      </c>
      <c r="J33" s="22" t="n">
        <v>41</v>
      </c>
      <c r="K33" s="29"/>
      <c r="L33" s="23" t="str">
        <f aca="false" t="array" ref="L33:L33">_xlfn.TEXTJOIN(", ",TRUE(),TEXT(H33+_xlfn.SEQUENCE(HOUR(I33-H33),1,0,1)/24,"hh:mm:ss") &amp; "-" &amp; TEXT(H33+_xlfn.SEQUENCE(HOUR(I33-H33),1,1,1)/24,"hh:mm:ss"))</f>
        <v>08:00:00-09:00:00, 09:00:00-10:00:00</v>
      </c>
      <c r="M33" s="1" t="str">
        <f aca="false">IF(F33="","Não alocada","Alocada")</f>
        <v>Alocada</v>
      </c>
      <c r="N33" s="17" t="s">
        <v>23</v>
      </c>
      <c r="O33" s="17" t="s">
        <v>24</v>
      </c>
    </row>
    <row r="34" customFormat="false" ht="15" hidden="false" customHeight="false" outlineLevel="0" collapsed="false">
      <c r="A34" s="18" t="s">
        <v>92</v>
      </c>
      <c r="B34" s="32" t="s">
        <v>46</v>
      </c>
      <c r="C34" s="32" t="s">
        <v>47</v>
      </c>
      <c r="D34" s="19" t="s">
        <v>57</v>
      </c>
      <c r="E34" s="32" t="s">
        <v>93</v>
      </c>
      <c r="F34" s="4" t="s">
        <v>21</v>
      </c>
      <c r="G34" s="20" t="s">
        <v>22</v>
      </c>
      <c r="H34" s="33" t="n">
        <v>0.666666666666667</v>
      </c>
      <c r="I34" s="33" t="n">
        <v>0.75</v>
      </c>
      <c r="J34" s="22" t="n">
        <v>45</v>
      </c>
      <c r="K34" s="29"/>
      <c r="L34" s="23" t="str">
        <f aca="false" t="array" ref="L34:L34">_xlfn.TEXTJOIN(", ",TRUE(),TEXT(H34+_xlfn.SEQUENCE(HOUR(I34-H34),1,0,1)/24,"hh:mm:ss") &amp; "-" &amp; TEXT(H34+_xlfn.SEQUENCE(HOUR(I34-H34),1,1,1)/24,"hh:mm:ss"))</f>
        <v>16:00:00-17:00:00, 17:00:00-18:00:00</v>
      </c>
      <c r="M34" s="1" t="str">
        <f aca="false">IF(F34="","Não alocada","Alocada")</f>
        <v>Alocada</v>
      </c>
      <c r="N34" s="17" t="s">
        <v>23</v>
      </c>
      <c r="O34" s="17" t="s">
        <v>24</v>
      </c>
    </row>
    <row r="35" customFormat="false" ht="15" hidden="false" customHeight="false" outlineLevel="0" collapsed="false">
      <c r="A35" s="18" t="s">
        <v>92</v>
      </c>
      <c r="B35" s="32" t="s">
        <v>25</v>
      </c>
      <c r="C35" s="32" t="s">
        <v>26</v>
      </c>
      <c r="D35" s="19" t="s">
        <v>41</v>
      </c>
      <c r="E35" s="32" t="s">
        <v>94</v>
      </c>
      <c r="F35" s="4" t="s">
        <v>21</v>
      </c>
      <c r="G35" s="20" t="s">
        <v>66</v>
      </c>
      <c r="H35" s="34" t="s">
        <v>95</v>
      </c>
      <c r="I35" s="34" t="s">
        <v>96</v>
      </c>
      <c r="J35" s="22" t="n">
        <v>30</v>
      </c>
      <c r="K35" s="29"/>
      <c r="L35" s="23" t="str">
        <f aca="false" t="array" ref="L35:L35">_xlfn.TEXTJOIN(", ",TRUE(),TEXT(H35+_xlfn.SEQUENCE(HOUR(I35-H35),1,0,1)/24,"hh:mm:ss") &amp; "-" &amp; TEXT(H35+_xlfn.SEQUENCE(HOUR(I35-H35),1,1,1)/24,"hh:mm:ss"))</f>
        <v>16:00:00-17:00:00, 17:00:00-18:00:00</v>
      </c>
      <c r="M35" s="1" t="str">
        <f aca="false">IF(F35="","Não alocada","Alocada")</f>
        <v>Alocada</v>
      </c>
      <c r="N35" s="17" t="s">
        <v>23</v>
      </c>
      <c r="O35" s="17" t="s">
        <v>24</v>
      </c>
    </row>
    <row r="36" customFormat="false" ht="15" hidden="false" customHeight="false" outlineLevel="0" collapsed="false">
      <c r="A36" s="18" t="s">
        <v>92</v>
      </c>
      <c r="B36" s="32" t="s">
        <v>61</v>
      </c>
      <c r="C36" s="32" t="s">
        <v>62</v>
      </c>
      <c r="D36" s="19" t="s">
        <v>32</v>
      </c>
      <c r="E36" s="32" t="s">
        <v>97</v>
      </c>
      <c r="F36" s="4" t="s">
        <v>21</v>
      </c>
      <c r="G36" s="20" t="s">
        <v>34</v>
      </c>
      <c r="H36" s="34" t="s">
        <v>98</v>
      </c>
      <c r="I36" s="34" t="s">
        <v>95</v>
      </c>
      <c r="J36" s="22" t="n">
        <v>56</v>
      </c>
      <c r="K36" s="29"/>
      <c r="L36" s="23" t="str">
        <f aca="false" t="array" ref="L36:L36">_xlfn.TEXTJOIN(", ",TRUE(),TEXT(H36+_xlfn.SEQUENCE(HOUR(I36-H36),1,0,1)/24,"hh:mm:ss") &amp; "-" &amp; TEXT(H36+_xlfn.SEQUENCE(HOUR(I36-H36),1,1,1)/24,"hh:mm:ss"))</f>
        <v>14:00:00-15:00:00, 15:00:00-16:00:00</v>
      </c>
      <c r="M36" s="1" t="str">
        <f aca="false">IF(F36="","Não alocada","Alocada")</f>
        <v>Alocada</v>
      </c>
      <c r="N36" s="17" t="s">
        <v>23</v>
      </c>
      <c r="O36" s="17" t="s">
        <v>24</v>
      </c>
    </row>
    <row r="37" customFormat="false" ht="15" hidden="false" customHeight="false" outlineLevel="0" collapsed="false">
      <c r="A37" s="18" t="s">
        <v>35</v>
      </c>
      <c r="B37" s="24" t="s">
        <v>99</v>
      </c>
      <c r="C37" s="24" t="s">
        <v>100</v>
      </c>
      <c r="D37" s="19" t="s">
        <v>19</v>
      </c>
      <c r="E37" s="24" t="s">
        <v>55</v>
      </c>
      <c r="F37" s="4" t="s">
        <v>101</v>
      </c>
      <c r="G37" s="20" t="s">
        <v>45</v>
      </c>
      <c r="H37" s="25" t="n">
        <v>0.416666666666667</v>
      </c>
      <c r="I37" s="25" t="n">
        <v>0.5</v>
      </c>
      <c r="J37" s="22" t="n">
        <v>27</v>
      </c>
      <c r="K37" s="19" t="s">
        <v>45</v>
      </c>
      <c r="L37" s="23" t="str">
        <f aca="false" t="array" ref="L37:L37">_xlfn.TEXTJOIN(", ",TRUE(),TEXT(H37+_xlfn.SEQUENCE(HOUR(I37-H37),1,0,1)/24,"hh:mm:ss") &amp; "-" &amp; TEXT(H37+_xlfn.SEQUENCE(HOUR(I37-H37),1,1,1)/24,"hh:mm:ss"))</f>
        <v>10:00:00-11:00:00, 11:00:00-12:00:00</v>
      </c>
      <c r="M37" s="1" t="str">
        <f aca="false">IF(F37="","Não alocada","Alocada")</f>
        <v>Alocada</v>
      </c>
      <c r="N37" s="17" t="s">
        <v>23</v>
      </c>
      <c r="O37" s="17" t="s">
        <v>24</v>
      </c>
    </row>
    <row r="38" customFormat="false" ht="15" hidden="false" customHeight="false" outlineLevel="0" collapsed="false">
      <c r="A38" s="18" t="s">
        <v>52</v>
      </c>
      <c r="B38" s="26" t="s">
        <v>102</v>
      </c>
      <c r="C38" s="26" t="s">
        <v>40</v>
      </c>
      <c r="D38" s="19" t="s">
        <v>27</v>
      </c>
      <c r="E38" s="26" t="s">
        <v>103</v>
      </c>
      <c r="F38" s="4" t="s">
        <v>101</v>
      </c>
      <c r="G38" s="20" t="s">
        <v>34</v>
      </c>
      <c r="H38" s="27" t="n">
        <v>0.333333333333333</v>
      </c>
      <c r="I38" s="27" t="n">
        <v>0.416666666666667</v>
      </c>
      <c r="J38" s="22" t="n">
        <v>60</v>
      </c>
      <c r="K38" s="19" t="s">
        <v>34</v>
      </c>
      <c r="L38" s="23" t="str">
        <f aca="false" t="array" ref="L38:L38">_xlfn.TEXTJOIN(", ",TRUE(),TEXT(H38+_xlfn.SEQUENCE(HOUR(I38-H38),1,0,1)/24,"hh:mm:ss") &amp; "-" &amp; TEXT(H38+_xlfn.SEQUENCE(HOUR(I38-H38),1,1,1)/24,"hh:mm:ss"))</f>
        <v>08:00:00-09:00:00, 09:00:00-10:00:00</v>
      </c>
      <c r="M38" s="1" t="str">
        <f aca="false">IF(F38="","Não alocada","Alocada")</f>
        <v>Alocada</v>
      </c>
      <c r="N38" s="17" t="s">
        <v>23</v>
      </c>
      <c r="O38" s="17" t="s">
        <v>24</v>
      </c>
    </row>
    <row r="39" customFormat="false" ht="15" hidden="false" customHeight="false" outlineLevel="0" collapsed="false">
      <c r="A39" s="18" t="s">
        <v>52</v>
      </c>
      <c r="B39" s="26" t="s">
        <v>102</v>
      </c>
      <c r="C39" s="26" t="s">
        <v>40</v>
      </c>
      <c r="D39" s="19" t="s">
        <v>60</v>
      </c>
      <c r="E39" s="26" t="s">
        <v>103</v>
      </c>
      <c r="F39" s="4" t="s">
        <v>101</v>
      </c>
      <c r="G39" s="20" t="s">
        <v>34</v>
      </c>
      <c r="H39" s="27" t="n">
        <v>0.583333333333333</v>
      </c>
      <c r="I39" s="27" t="n">
        <v>0.666666666666667</v>
      </c>
      <c r="J39" s="22" t="n">
        <v>60</v>
      </c>
      <c r="K39" s="19" t="s">
        <v>34</v>
      </c>
      <c r="L39" s="23" t="str">
        <f aca="false" t="array" ref="L39:L39">_xlfn.TEXTJOIN(", ",TRUE(),TEXT(H39+_xlfn.SEQUENCE(HOUR(I39-H39),1,0,1)/24,"hh:mm:ss") &amp; "-" &amp; TEXT(H39+_xlfn.SEQUENCE(HOUR(I39-H39),1,1,1)/24,"hh:mm:ss"))</f>
        <v>14:00:00-15:00:00, 15:00:00-16:00:00</v>
      </c>
      <c r="M39" s="1" t="str">
        <f aca="false">IF(F39="","Não alocada","Alocada")</f>
        <v>Alocada</v>
      </c>
      <c r="N39" s="17" t="s">
        <v>23</v>
      </c>
      <c r="O39" s="17" t="s">
        <v>24</v>
      </c>
    </row>
    <row r="40" customFormat="false" ht="15" hidden="false" customHeight="false" outlineLevel="0" collapsed="false">
      <c r="A40" s="18" t="s">
        <v>52</v>
      </c>
      <c r="B40" s="26" t="s">
        <v>102</v>
      </c>
      <c r="C40" s="26" t="s">
        <v>40</v>
      </c>
      <c r="D40" s="19" t="s">
        <v>41</v>
      </c>
      <c r="E40" s="26" t="s">
        <v>104</v>
      </c>
      <c r="F40" s="4" t="s">
        <v>101</v>
      </c>
      <c r="G40" s="20" t="s">
        <v>34</v>
      </c>
      <c r="H40" s="27" t="n">
        <v>0.666666666666667</v>
      </c>
      <c r="I40" s="27" t="n">
        <v>0.75</v>
      </c>
      <c r="J40" s="22" t="n">
        <v>60</v>
      </c>
      <c r="K40" s="19" t="s">
        <v>34</v>
      </c>
      <c r="L40" s="23" t="str">
        <f aca="false" t="array" ref="L40:L40">_xlfn.TEXTJOIN(", ",TRUE(),TEXT(H40+_xlfn.SEQUENCE(HOUR(I40-H40),1,0,1)/24,"hh:mm:ss") &amp; "-" &amp; TEXT(H40+_xlfn.SEQUENCE(HOUR(I40-H40),1,1,1)/24,"hh:mm:ss"))</f>
        <v>16:00:00-17:00:00, 17:00:00-18:00:00</v>
      </c>
      <c r="M40" s="1" t="str">
        <f aca="false">IF(F40="","Não alocada","Alocada")</f>
        <v>Alocada</v>
      </c>
      <c r="N40" s="17" t="s">
        <v>23</v>
      </c>
      <c r="O40" s="17" t="s">
        <v>24</v>
      </c>
    </row>
    <row r="41" customFormat="false" ht="15" hidden="false" customHeight="false" outlineLevel="0" collapsed="false">
      <c r="A41" s="18" t="s">
        <v>75</v>
      </c>
      <c r="B41" s="26" t="s">
        <v>105</v>
      </c>
      <c r="C41" s="26" t="s">
        <v>106</v>
      </c>
      <c r="D41" s="19" t="s">
        <v>76</v>
      </c>
      <c r="E41" s="26"/>
      <c r="F41" s="4" t="s">
        <v>101</v>
      </c>
      <c r="G41" s="20" t="s">
        <v>29</v>
      </c>
      <c r="H41" s="27" t="n">
        <v>0.666666666666667</v>
      </c>
      <c r="I41" s="27" t="n">
        <v>0.75</v>
      </c>
      <c r="J41" s="22" t="n">
        <v>60</v>
      </c>
      <c r="K41" s="29"/>
      <c r="L41" s="23" t="str">
        <f aca="false" t="array" ref="L41:L41">_xlfn.TEXTJOIN(", ",TRUE(),TEXT(H41+_xlfn.SEQUENCE(HOUR(I41-H41),1,0,1)/24,"hh:mm:ss") &amp; "-" &amp; TEXT(H41+_xlfn.SEQUENCE(HOUR(I41-H41),1,1,1)/24,"hh:mm:ss"))</f>
        <v>16:00:00-17:00:00, 17:00:00-18:00:00</v>
      </c>
      <c r="M41" s="1" t="str">
        <f aca="false">IF(F41="","Não alocada","Alocada")</f>
        <v>Alocada</v>
      </c>
      <c r="N41" s="17" t="s">
        <v>23</v>
      </c>
      <c r="O41" s="17" t="s">
        <v>24</v>
      </c>
    </row>
    <row r="42" customFormat="false" ht="15" hidden="false" customHeight="false" outlineLevel="0" collapsed="false">
      <c r="A42" s="18" t="s">
        <v>75</v>
      </c>
      <c r="B42" s="26" t="s">
        <v>107</v>
      </c>
      <c r="C42" s="30" t="s">
        <v>108</v>
      </c>
      <c r="D42" s="19" t="s">
        <v>76</v>
      </c>
      <c r="E42" s="26"/>
      <c r="F42" s="4" t="s">
        <v>101</v>
      </c>
      <c r="G42" s="20" t="s">
        <v>34</v>
      </c>
      <c r="H42" s="27" t="n">
        <v>0.416666666666667</v>
      </c>
      <c r="I42" s="27" t="n">
        <v>0.5</v>
      </c>
      <c r="J42" s="22" t="n">
        <v>60</v>
      </c>
      <c r="K42" s="29"/>
      <c r="L42" s="23" t="str">
        <f aca="false" t="array" ref="L42:L42">_xlfn.TEXTJOIN(", ",TRUE(),TEXT(H42+_xlfn.SEQUENCE(HOUR(I42-H42),1,0,1)/24,"hh:mm:ss") &amp; "-" &amp; TEXT(H42+_xlfn.SEQUENCE(HOUR(I42-H42),1,1,1)/24,"hh:mm:ss"))</f>
        <v>10:00:00-11:00:00, 11:00:00-12:00:00</v>
      </c>
      <c r="M42" s="1" t="str">
        <f aca="false">IF(F42="","Não alocada","Alocada")</f>
        <v>Alocada</v>
      </c>
      <c r="N42" s="17" t="s">
        <v>23</v>
      </c>
      <c r="O42" s="17" t="s">
        <v>24</v>
      </c>
    </row>
    <row r="43" customFormat="false" ht="15" hidden="false" customHeight="false" outlineLevel="0" collapsed="false">
      <c r="A43" s="18" t="s">
        <v>77</v>
      </c>
      <c r="B43" s="26" t="s">
        <v>109</v>
      </c>
      <c r="C43" s="26" t="s">
        <v>110</v>
      </c>
      <c r="D43" s="19" t="s">
        <v>81</v>
      </c>
      <c r="E43" s="26" t="s">
        <v>111</v>
      </c>
      <c r="F43" s="4" t="s">
        <v>101</v>
      </c>
      <c r="G43" s="20" t="s">
        <v>22</v>
      </c>
      <c r="H43" s="27" t="n">
        <v>0.416666666666667</v>
      </c>
      <c r="I43" s="27" t="n">
        <v>0.5</v>
      </c>
      <c r="J43" s="22" t="n">
        <v>60</v>
      </c>
      <c r="K43" s="26" t="s">
        <v>80</v>
      </c>
      <c r="L43" s="23" t="str">
        <f aca="false" t="array" ref="L43:L43">_xlfn.TEXTJOIN(", ",TRUE(),TEXT(H43+_xlfn.SEQUENCE(HOUR(I43-H43),1,0,1)/24,"hh:mm:ss") &amp; "-" &amp; TEXT(H43+_xlfn.SEQUENCE(HOUR(I43-H43),1,1,1)/24,"hh:mm:ss"))</f>
        <v>10:00:00-11:00:00, 11:00:00-12:00:00</v>
      </c>
      <c r="M43" s="1" t="str">
        <f aca="false">IF(F43="","Não alocada","Alocada")</f>
        <v>Alocada</v>
      </c>
      <c r="N43" s="17" t="s">
        <v>23</v>
      </c>
      <c r="O43" s="17" t="s">
        <v>24</v>
      </c>
    </row>
    <row r="44" customFormat="false" ht="15" hidden="false" customHeight="false" outlineLevel="0" collapsed="false">
      <c r="A44" s="18" t="s">
        <v>77</v>
      </c>
      <c r="B44" s="26" t="s">
        <v>107</v>
      </c>
      <c r="C44" s="26" t="s">
        <v>108</v>
      </c>
      <c r="D44" s="19" t="s">
        <v>81</v>
      </c>
      <c r="E44" s="26" t="s">
        <v>112</v>
      </c>
      <c r="F44" s="4" t="s">
        <v>101</v>
      </c>
      <c r="G44" s="20" t="s">
        <v>29</v>
      </c>
      <c r="H44" s="27" t="n">
        <v>0.583333333333333</v>
      </c>
      <c r="I44" s="27" t="n">
        <v>0.666666666666667</v>
      </c>
      <c r="J44" s="22" t="n">
        <v>60</v>
      </c>
      <c r="K44" s="26" t="s">
        <v>80</v>
      </c>
      <c r="L44" s="23" t="str">
        <f aca="false" t="array" ref="L44:L44">_xlfn.TEXTJOIN(", ",TRUE(),TEXT(H44+_xlfn.SEQUENCE(HOUR(I44-H44),1,0,1)/24,"hh:mm:ss") &amp; "-" &amp; TEXT(H44+_xlfn.SEQUENCE(HOUR(I44-H44),1,1,1)/24,"hh:mm:ss"))</f>
        <v>14:00:00-15:00:00, 15:00:00-16:00:00</v>
      </c>
      <c r="M44" s="1" t="str">
        <f aca="false">IF(F44="","Não alocada","Alocada")</f>
        <v>Alocada</v>
      </c>
      <c r="N44" s="17" t="s">
        <v>23</v>
      </c>
      <c r="O44" s="17" t="s">
        <v>24</v>
      </c>
    </row>
    <row r="45" customFormat="false" ht="15" hidden="false" customHeight="false" outlineLevel="0" collapsed="false">
      <c r="A45" s="18" t="s">
        <v>77</v>
      </c>
      <c r="B45" s="26" t="s">
        <v>102</v>
      </c>
      <c r="C45" s="26" t="s">
        <v>40</v>
      </c>
      <c r="D45" s="19" t="s">
        <v>113</v>
      </c>
      <c r="E45" s="26" t="s">
        <v>114</v>
      </c>
      <c r="F45" s="4" t="s">
        <v>101</v>
      </c>
      <c r="G45" s="20" t="s">
        <v>34</v>
      </c>
      <c r="H45" s="27" t="n">
        <v>0.666666666666667</v>
      </c>
      <c r="I45" s="27" t="n">
        <v>0.75</v>
      </c>
      <c r="J45" s="22" t="n">
        <v>60</v>
      </c>
      <c r="K45" s="26" t="s">
        <v>80</v>
      </c>
      <c r="L45" s="23" t="str">
        <f aca="false" t="array" ref="L45:L45">_xlfn.TEXTJOIN(", ",TRUE(),TEXT(H45+_xlfn.SEQUENCE(HOUR(I45-H45),1,0,1)/24,"hh:mm:ss") &amp; "-" &amp; TEXT(H45+_xlfn.SEQUENCE(HOUR(I45-H45),1,1,1)/24,"hh:mm:ss"))</f>
        <v>16:00:00-17:00:00, 17:00:00-18:00:00</v>
      </c>
      <c r="M45" s="1" t="str">
        <f aca="false">IF(F45="","Não alocada","Alocada")</f>
        <v>Alocada</v>
      </c>
      <c r="N45" s="17" t="s">
        <v>23</v>
      </c>
      <c r="O45" s="17" t="s">
        <v>24</v>
      </c>
    </row>
    <row r="46" customFormat="false" ht="15" hidden="false" customHeight="false" outlineLevel="0" collapsed="false">
      <c r="A46" s="18" t="s">
        <v>77</v>
      </c>
      <c r="B46" s="26" t="s">
        <v>105</v>
      </c>
      <c r="C46" s="26" t="s">
        <v>106</v>
      </c>
      <c r="D46" s="19" t="s">
        <v>81</v>
      </c>
      <c r="E46" s="26" t="s">
        <v>79</v>
      </c>
      <c r="F46" s="4" t="s">
        <v>101</v>
      </c>
      <c r="G46" s="20" t="s">
        <v>34</v>
      </c>
      <c r="H46" s="27" t="n">
        <v>0.333333333333333</v>
      </c>
      <c r="I46" s="27" t="n">
        <v>0.416666666666667</v>
      </c>
      <c r="J46" s="22" t="n">
        <v>60</v>
      </c>
      <c r="K46" s="26" t="s">
        <v>80</v>
      </c>
      <c r="L46" s="23" t="str">
        <f aca="false" t="array" ref="L46:L46">_xlfn.TEXTJOIN(", ",TRUE(),TEXT(H46+_xlfn.SEQUENCE(HOUR(I46-H46),1,0,1)/24,"hh:mm:ss") &amp; "-" &amp; TEXT(H46+_xlfn.SEQUENCE(HOUR(I46-H46),1,1,1)/24,"hh:mm:ss"))</f>
        <v>08:00:00-09:00:00, 09:00:00-10:00:00</v>
      </c>
      <c r="M46" s="1" t="str">
        <f aca="false">IF(F46="","Não alocada","Alocada")</f>
        <v>Alocada</v>
      </c>
      <c r="N46" s="17" t="s">
        <v>23</v>
      </c>
      <c r="O46" s="17" t="s">
        <v>24</v>
      </c>
    </row>
    <row r="47" customFormat="false" ht="15" hidden="false" customHeight="false" outlineLevel="0" collapsed="false">
      <c r="A47" s="18" t="s">
        <v>83</v>
      </c>
      <c r="B47" s="26" t="s">
        <v>115</v>
      </c>
      <c r="C47" s="26" t="s">
        <v>116</v>
      </c>
      <c r="D47" s="19" t="s">
        <v>76</v>
      </c>
      <c r="E47" s="26"/>
      <c r="F47" s="4" t="s">
        <v>101</v>
      </c>
      <c r="G47" s="20" t="s">
        <v>117</v>
      </c>
      <c r="H47" s="27" t="n">
        <v>0.333333333333333</v>
      </c>
      <c r="I47" s="27" t="n">
        <v>0.416666666666667</v>
      </c>
      <c r="J47" s="22" t="n">
        <v>60</v>
      </c>
      <c r="K47" s="29"/>
      <c r="L47" s="23" t="str">
        <f aca="false" t="array" ref="L47:L47">_xlfn.TEXTJOIN(", ",TRUE(),TEXT(H47+_xlfn.SEQUENCE(HOUR(I47-H47),1,0,1)/24,"hh:mm:ss") &amp; "-" &amp; TEXT(H47+_xlfn.SEQUENCE(HOUR(I47-H47),1,1,1)/24,"hh:mm:ss"))</f>
        <v>08:00:00-09:00:00, 09:00:00-10:00:00</v>
      </c>
      <c r="M47" s="1" t="str">
        <f aca="false">IF(F47="","Não alocada","Alocada")</f>
        <v>Alocada</v>
      </c>
      <c r="N47" s="17" t="s">
        <v>23</v>
      </c>
      <c r="O47" s="17" t="s">
        <v>24</v>
      </c>
    </row>
    <row r="48" customFormat="false" ht="15" hidden="false" customHeight="false" outlineLevel="0" collapsed="false">
      <c r="A48" s="18" t="s">
        <v>83</v>
      </c>
      <c r="B48" s="26" t="s">
        <v>109</v>
      </c>
      <c r="C48" s="26" t="s">
        <v>110</v>
      </c>
      <c r="D48" s="19" t="s">
        <v>76</v>
      </c>
      <c r="E48" s="26"/>
      <c r="F48" s="4" t="s">
        <v>101</v>
      </c>
      <c r="G48" s="20" t="s">
        <v>22</v>
      </c>
      <c r="H48" s="27" t="n">
        <v>0.666666666666667</v>
      </c>
      <c r="I48" s="27" t="n">
        <v>0.75</v>
      </c>
      <c r="J48" s="22" t="n">
        <v>60</v>
      </c>
      <c r="K48" s="29"/>
      <c r="L48" s="23" t="str">
        <f aca="false" t="array" ref="L48:L48">_xlfn.TEXTJOIN(", ",TRUE(),TEXT(H48+_xlfn.SEQUENCE(HOUR(I48-H48),1,0,1)/24,"hh:mm:ss") &amp; "-" &amp; TEXT(H48+_xlfn.SEQUENCE(HOUR(I48-H48),1,1,1)/24,"hh:mm:ss"))</f>
        <v>16:00:00-17:00:00, 17:00:00-18:00:00</v>
      </c>
      <c r="M48" s="1" t="str">
        <f aca="false">IF(F48="","Não alocada","Alocada")</f>
        <v>Alocada</v>
      </c>
      <c r="N48" s="17" t="s">
        <v>23</v>
      </c>
      <c r="O48" s="17" t="s">
        <v>24</v>
      </c>
    </row>
    <row r="49" customFormat="false" ht="15" hidden="false" customHeight="false" outlineLevel="0" collapsed="false">
      <c r="A49" s="18" t="s">
        <v>83</v>
      </c>
      <c r="B49" s="26" t="s">
        <v>105</v>
      </c>
      <c r="C49" s="26" t="s">
        <v>106</v>
      </c>
      <c r="D49" s="19" t="s">
        <v>76</v>
      </c>
      <c r="E49" s="26"/>
      <c r="F49" s="4" t="s">
        <v>101</v>
      </c>
      <c r="G49" s="20" t="s">
        <v>29</v>
      </c>
      <c r="H49" s="27" t="n">
        <v>0.666666666666667</v>
      </c>
      <c r="I49" s="27" t="n">
        <v>0.75</v>
      </c>
      <c r="J49" s="22" t="n">
        <v>60</v>
      </c>
      <c r="K49" s="29"/>
      <c r="L49" s="23" t="str">
        <f aca="false" t="array" ref="L49:L49">_xlfn.TEXTJOIN(", ",TRUE(),TEXT(H49+_xlfn.SEQUENCE(HOUR(I49-H49),1,0,1)/24,"hh:mm:ss") &amp; "-" &amp; TEXT(H49+_xlfn.SEQUENCE(HOUR(I49-H49),1,1,1)/24,"hh:mm:ss"))</f>
        <v>16:00:00-17:00:00, 17:00:00-18:00:00</v>
      </c>
      <c r="M49" s="1" t="str">
        <f aca="false">IF(F49="","Não alocada","Alocada")</f>
        <v>Alocada</v>
      </c>
      <c r="N49" s="17" t="s">
        <v>23</v>
      </c>
      <c r="O49" s="17" t="s">
        <v>24</v>
      </c>
    </row>
    <row r="50" customFormat="false" ht="15" hidden="false" customHeight="false" outlineLevel="0" collapsed="false">
      <c r="A50" s="18" t="s">
        <v>90</v>
      </c>
      <c r="B50" s="31" t="s">
        <v>102</v>
      </c>
      <c r="C50" s="31" t="s">
        <v>40</v>
      </c>
      <c r="D50" s="19" t="s">
        <v>48</v>
      </c>
      <c r="E50" s="31" t="s">
        <v>118</v>
      </c>
      <c r="F50" s="4" t="s">
        <v>101</v>
      </c>
      <c r="G50" s="20" t="s">
        <v>29</v>
      </c>
      <c r="H50" s="27" t="n">
        <v>0.416666666666667</v>
      </c>
      <c r="I50" s="27" t="n">
        <v>0.5</v>
      </c>
      <c r="J50" s="22" t="n">
        <v>60</v>
      </c>
      <c r="K50" s="29"/>
      <c r="L50" s="23" t="str">
        <f aca="false" t="array" ref="L50:L50">_xlfn.TEXTJOIN(", ",TRUE(),TEXT(H50+_xlfn.SEQUENCE(HOUR(I50-H50),1,0,1)/24,"hh:mm:ss") &amp; "-" &amp; TEXT(H50+_xlfn.SEQUENCE(HOUR(I50-H50),1,1,1)/24,"hh:mm:ss"))</f>
        <v>10:00:00-11:00:00, 11:00:00-12:00:00</v>
      </c>
      <c r="M50" s="1" t="str">
        <f aca="false">IF(F50="","Não alocada","Alocada")</f>
        <v>Alocada</v>
      </c>
      <c r="N50" s="17" t="s">
        <v>23</v>
      </c>
      <c r="O50" s="17" t="s">
        <v>24</v>
      </c>
    </row>
    <row r="51" customFormat="false" ht="15" hidden="false" customHeight="false" outlineLevel="0" collapsed="false">
      <c r="A51" s="18" t="s">
        <v>90</v>
      </c>
      <c r="B51" s="31" t="s">
        <v>102</v>
      </c>
      <c r="C51" s="31" t="s">
        <v>40</v>
      </c>
      <c r="D51" s="19" t="s">
        <v>65</v>
      </c>
      <c r="E51" s="31" t="s">
        <v>119</v>
      </c>
      <c r="F51" s="4" t="s">
        <v>101</v>
      </c>
      <c r="G51" s="20" t="s">
        <v>29</v>
      </c>
      <c r="H51" s="27" t="n">
        <v>1.41666666666667</v>
      </c>
      <c r="I51" s="27" t="n">
        <v>1.5</v>
      </c>
      <c r="J51" s="22" t="n">
        <v>60</v>
      </c>
      <c r="K51" s="29"/>
      <c r="L51" s="23" t="str">
        <f aca="false" t="array" ref="L51:L51">_xlfn.TEXTJOIN(", ",TRUE(),TEXT(H51+_xlfn.SEQUENCE(HOUR(I51-H51),1,0,1)/24,"hh:mm:ss") &amp; "-" &amp; TEXT(H51+_xlfn.SEQUENCE(HOUR(I51-H51),1,1,1)/24,"hh:mm:ss"))</f>
        <v>10:00:00-11:00:00, 11:00:00-12:00:00</v>
      </c>
      <c r="M51" s="1" t="str">
        <f aca="false">IF(F51="","Não alocada","Alocada")</f>
        <v>Alocada</v>
      </c>
      <c r="N51" s="17" t="s">
        <v>23</v>
      </c>
      <c r="O51" s="17" t="s">
        <v>24</v>
      </c>
    </row>
    <row r="52" customFormat="false" ht="15" hidden="false" customHeight="false" outlineLevel="0" collapsed="false">
      <c r="A52" s="18" t="s">
        <v>90</v>
      </c>
      <c r="B52" s="31" t="s">
        <v>105</v>
      </c>
      <c r="C52" s="31" t="s">
        <v>106</v>
      </c>
      <c r="D52" s="19" t="s">
        <v>32</v>
      </c>
      <c r="E52" s="26"/>
      <c r="F52" s="4" t="s">
        <v>101</v>
      </c>
      <c r="G52" s="20" t="s">
        <v>34</v>
      </c>
      <c r="H52" s="27" t="n">
        <v>1.33333333333333</v>
      </c>
      <c r="I52" s="27" t="n">
        <v>1.41666666666667</v>
      </c>
      <c r="J52" s="22" t="n">
        <v>60</v>
      </c>
      <c r="K52" s="29"/>
      <c r="L52" s="23" t="str">
        <f aca="false" t="array" ref="L52:L52">_xlfn.TEXTJOIN(", ",TRUE(),TEXT(H52+_xlfn.SEQUENCE(HOUR(I52-H52),1,0,1)/24,"hh:mm:ss") &amp; "-" &amp; TEXT(H52+_xlfn.SEQUENCE(HOUR(I52-H52),1,1,1)/24,"hh:mm:ss"))</f>
        <v>08:00:00-09:00:00, 09:00:00-10:00:00</v>
      </c>
      <c r="M52" s="1" t="str">
        <f aca="false">IF(F52="","Não alocada","Alocada")</f>
        <v>Alocada</v>
      </c>
      <c r="N52" s="17" t="s">
        <v>23</v>
      </c>
      <c r="O52" s="17" t="s">
        <v>24</v>
      </c>
    </row>
    <row r="53" customFormat="false" ht="15" hidden="false" customHeight="false" outlineLevel="0" collapsed="false">
      <c r="A53" s="18" t="s">
        <v>92</v>
      </c>
      <c r="B53" s="32" t="s">
        <v>102</v>
      </c>
      <c r="C53" s="32" t="s">
        <v>40</v>
      </c>
      <c r="D53" s="19" t="s">
        <v>57</v>
      </c>
      <c r="E53" s="32" t="s">
        <v>120</v>
      </c>
      <c r="F53" s="4" t="s">
        <v>101</v>
      </c>
      <c r="G53" s="20" t="s">
        <v>34</v>
      </c>
      <c r="H53" s="34" t="s">
        <v>95</v>
      </c>
      <c r="I53" s="34" t="s">
        <v>96</v>
      </c>
      <c r="J53" s="22" t="n">
        <v>60</v>
      </c>
      <c r="K53" s="29"/>
      <c r="L53" s="23" t="str">
        <f aca="false" t="array" ref="L53:L53">_xlfn.TEXTJOIN(", ",TRUE(),TEXT(H53+_xlfn.SEQUENCE(HOUR(I53-H53),1,0,1)/24,"hh:mm:ss") &amp; "-" &amp; TEXT(H53+_xlfn.SEQUENCE(HOUR(I53-H53),1,1,1)/24,"hh:mm:ss"))</f>
        <v>16:00:00-17:00:00, 17:00:00-18:00:00</v>
      </c>
      <c r="M53" s="1" t="str">
        <f aca="false">IF(F53="","Não alocada","Alocada")</f>
        <v>Alocada</v>
      </c>
      <c r="N53" s="17" t="s">
        <v>23</v>
      </c>
      <c r="O53" s="17" t="s">
        <v>24</v>
      </c>
    </row>
    <row r="54" customFormat="false" ht="15" hidden="false" customHeight="false" outlineLevel="0" collapsed="false">
      <c r="A54" s="18" t="s">
        <v>92</v>
      </c>
      <c r="B54" s="32" t="s">
        <v>121</v>
      </c>
      <c r="C54" s="32" t="s">
        <v>122</v>
      </c>
      <c r="D54" s="19" t="s">
        <v>27</v>
      </c>
      <c r="E54" s="32" t="s">
        <v>123</v>
      </c>
      <c r="F54" s="4" t="s">
        <v>101</v>
      </c>
      <c r="G54" s="20" t="s">
        <v>34</v>
      </c>
      <c r="H54" s="33" t="n">
        <v>0.75</v>
      </c>
      <c r="I54" s="33" t="n">
        <v>0.833333333333333</v>
      </c>
      <c r="J54" s="22" t="n">
        <v>28</v>
      </c>
      <c r="K54" s="29"/>
      <c r="L54" s="23" t="str">
        <f aca="false" t="array" ref="L54:L54">_xlfn.TEXTJOIN(", ",TRUE(),TEXT(H54+_xlfn.SEQUENCE(HOUR(I54-H54),1,0,1)/24,"hh:mm:ss") &amp; "-" &amp; TEXT(H54+_xlfn.SEQUENCE(HOUR(I54-H54),1,1,1)/24,"hh:mm:ss"))</f>
        <v>18:00:00-19:00:00, 19:00:00-20:00:00</v>
      </c>
      <c r="M54" s="1" t="str">
        <f aca="false">IF(F54="","Não alocada","Alocada")</f>
        <v>Alocada</v>
      </c>
      <c r="N54" s="17" t="s">
        <v>23</v>
      </c>
      <c r="O54" s="17" t="s">
        <v>24</v>
      </c>
    </row>
    <row r="55" customFormat="false" ht="15" hidden="false" customHeight="false" outlineLevel="0" collapsed="false">
      <c r="A55" s="18" t="s">
        <v>35</v>
      </c>
      <c r="B55" s="24" t="s">
        <v>124</v>
      </c>
      <c r="C55" s="24" t="s">
        <v>125</v>
      </c>
      <c r="D55" s="19" t="s">
        <v>19</v>
      </c>
      <c r="E55" s="24" t="s">
        <v>126</v>
      </c>
      <c r="F55" s="4" t="s">
        <v>127</v>
      </c>
      <c r="G55" s="20" t="s">
        <v>34</v>
      </c>
      <c r="H55" s="25" t="n">
        <v>0.416666666666667</v>
      </c>
      <c r="I55" s="25" t="n">
        <v>0.5</v>
      </c>
      <c r="J55" s="22" t="n">
        <v>48</v>
      </c>
      <c r="K55" s="19" t="s">
        <v>34</v>
      </c>
      <c r="L55" s="23" t="str">
        <f aca="false" t="array" ref="L55:L55">_xlfn.TEXTJOIN(", ",TRUE(),TEXT(H55+_xlfn.SEQUENCE(HOUR(I55-H55),1,0,1)/24,"hh:mm:ss") &amp; "-" &amp; TEXT(H55+_xlfn.SEQUENCE(HOUR(I55-H55),1,1,1)/24,"hh:mm:ss"))</f>
        <v>10:00:00-11:00:00, 11:00:00-12:00:00</v>
      </c>
      <c r="M55" s="1" t="str">
        <f aca="false">IF(F55="","Não alocada","Alocada")</f>
        <v>Alocada</v>
      </c>
      <c r="N55" s="17" t="s">
        <v>23</v>
      </c>
      <c r="O55" s="17" t="s">
        <v>24</v>
      </c>
    </row>
    <row r="56" customFormat="false" ht="15" hidden="false" customHeight="false" outlineLevel="0" collapsed="false">
      <c r="A56" s="18" t="s">
        <v>35</v>
      </c>
      <c r="B56" s="24" t="s">
        <v>128</v>
      </c>
      <c r="C56" s="24" t="s">
        <v>125</v>
      </c>
      <c r="D56" s="19" t="s">
        <v>27</v>
      </c>
      <c r="E56" s="24" t="s">
        <v>126</v>
      </c>
      <c r="F56" s="4" t="s">
        <v>127</v>
      </c>
      <c r="G56" s="20" t="s">
        <v>34</v>
      </c>
      <c r="H56" s="25" t="n">
        <v>0.416666666666667</v>
      </c>
      <c r="I56" s="25" t="n">
        <v>0.5</v>
      </c>
      <c r="J56" s="22" t="n">
        <v>5</v>
      </c>
      <c r="K56" s="19" t="s">
        <v>34</v>
      </c>
      <c r="L56" s="23" t="str">
        <f aca="false" t="array" ref="L56:L56">_xlfn.TEXTJOIN(", ",TRUE(),TEXT(H56+_xlfn.SEQUENCE(HOUR(I56-H56),1,0,1)/24,"hh:mm:ss") &amp; "-" &amp; TEXT(H56+_xlfn.SEQUENCE(HOUR(I56-H56),1,1,1)/24,"hh:mm:ss"))</f>
        <v>10:00:00-11:00:00, 11:00:00-12:00:00</v>
      </c>
      <c r="M56" s="1" t="str">
        <f aca="false">IF(F56="","Não alocada","Alocada")</f>
        <v>Alocada</v>
      </c>
      <c r="N56" s="17" t="s">
        <v>23</v>
      </c>
      <c r="O56" s="17" t="s">
        <v>24</v>
      </c>
    </row>
    <row r="57" customFormat="false" ht="15" hidden="false" customHeight="false" outlineLevel="0" collapsed="false">
      <c r="A57" s="18" t="s">
        <v>52</v>
      </c>
      <c r="B57" s="26" t="s">
        <v>129</v>
      </c>
      <c r="C57" s="26" t="s">
        <v>130</v>
      </c>
      <c r="D57" s="19" t="s">
        <v>27</v>
      </c>
      <c r="E57" s="26" t="s">
        <v>131</v>
      </c>
      <c r="F57" s="4" t="s">
        <v>127</v>
      </c>
      <c r="G57" s="35" t="s">
        <v>22</v>
      </c>
      <c r="H57" s="36" t="n">
        <v>0.333333333333333</v>
      </c>
      <c r="I57" s="36" t="n">
        <v>0.416666666666667</v>
      </c>
      <c r="J57" s="22" t="n">
        <v>50</v>
      </c>
      <c r="K57" s="37" t="s">
        <v>22</v>
      </c>
      <c r="L57" s="23" t="str">
        <f aca="false" t="array" ref="L57:L57">_xlfn.TEXTJOIN(", ",TRUE(),TEXT(H57+_xlfn.SEQUENCE(HOUR(I57-H57),1,0,1)/24,"hh:mm:ss") &amp; "-" &amp; TEXT(H57+_xlfn.SEQUENCE(HOUR(I57-H57),1,1,1)/24,"hh:mm:ss"))</f>
        <v>08:00:00-09:00:00, 09:00:00-10:00:00</v>
      </c>
      <c r="M57" s="1" t="str">
        <f aca="false">IF(F57="","Não alocada","Alocada")</f>
        <v>Alocada</v>
      </c>
      <c r="N57" s="17" t="s">
        <v>23</v>
      </c>
      <c r="O57" s="17" t="s">
        <v>24</v>
      </c>
    </row>
    <row r="58" customFormat="false" ht="15" hidden="false" customHeight="false" outlineLevel="0" collapsed="false">
      <c r="A58" s="18" t="s">
        <v>52</v>
      </c>
      <c r="B58" s="26" t="s">
        <v>129</v>
      </c>
      <c r="C58" s="26" t="s">
        <v>130</v>
      </c>
      <c r="D58" s="19" t="s">
        <v>27</v>
      </c>
      <c r="E58" s="26" t="s">
        <v>131</v>
      </c>
      <c r="F58" s="4" t="s">
        <v>127</v>
      </c>
      <c r="G58" s="35" t="s">
        <v>66</v>
      </c>
      <c r="H58" s="36" t="n">
        <v>0.416666666666667</v>
      </c>
      <c r="I58" s="36" t="n">
        <v>0.5</v>
      </c>
      <c r="J58" s="22" t="n">
        <v>50</v>
      </c>
      <c r="K58" s="37" t="s">
        <v>66</v>
      </c>
      <c r="L58" s="23" t="str">
        <f aca="false" t="array" ref="L58:L58">_xlfn.TEXTJOIN(", ",TRUE(),TEXT(H58+_xlfn.SEQUENCE(HOUR(I58-H58),1,0,1)/24,"hh:mm:ss") &amp; "-" &amp; TEXT(H58+_xlfn.SEQUENCE(HOUR(I58-H58),1,1,1)/24,"hh:mm:ss"))</f>
        <v>10:00:00-11:00:00, 11:00:00-12:00:00</v>
      </c>
      <c r="M58" s="1" t="str">
        <f aca="false">IF(F58="","Não alocada","Alocada")</f>
        <v>Alocada</v>
      </c>
      <c r="N58" s="17" t="s">
        <v>23</v>
      </c>
      <c r="O58" s="17" t="s">
        <v>24</v>
      </c>
    </row>
    <row r="59" customFormat="false" ht="15" hidden="false" customHeight="false" outlineLevel="0" collapsed="false">
      <c r="A59" s="18" t="s">
        <v>52</v>
      </c>
      <c r="B59" s="26" t="s">
        <v>129</v>
      </c>
      <c r="C59" s="26" t="s">
        <v>130</v>
      </c>
      <c r="D59" s="19" t="s">
        <v>60</v>
      </c>
      <c r="E59" s="26" t="s">
        <v>132</v>
      </c>
      <c r="F59" s="4" t="s">
        <v>127</v>
      </c>
      <c r="G59" s="35" t="s">
        <v>22</v>
      </c>
      <c r="H59" s="36" t="n">
        <v>0.583333333333333</v>
      </c>
      <c r="I59" s="36" t="n">
        <v>0.666666666666667</v>
      </c>
      <c r="J59" s="22" t="n">
        <v>50</v>
      </c>
      <c r="K59" s="37" t="s">
        <v>22</v>
      </c>
      <c r="L59" s="23" t="str">
        <f aca="false" t="array" ref="L59:L59">_xlfn.TEXTJOIN(", ",TRUE(),TEXT(H59+_xlfn.SEQUENCE(HOUR(I59-H59),1,0,1)/24,"hh:mm:ss") &amp; "-" &amp; TEXT(H59+_xlfn.SEQUENCE(HOUR(I59-H59),1,1,1)/24,"hh:mm:ss"))</f>
        <v>14:00:00-15:00:00, 15:00:00-16:00:00</v>
      </c>
      <c r="M59" s="1" t="str">
        <f aca="false">IF(F59="","Não alocada","Alocada")</f>
        <v>Alocada</v>
      </c>
      <c r="N59" s="17" t="s">
        <v>23</v>
      </c>
      <c r="O59" s="17" t="s">
        <v>24</v>
      </c>
    </row>
    <row r="60" customFormat="false" ht="15" hidden="false" customHeight="false" outlineLevel="0" collapsed="false">
      <c r="A60" s="18" t="s">
        <v>52</v>
      </c>
      <c r="B60" s="26" t="s">
        <v>129</v>
      </c>
      <c r="C60" s="26" t="s">
        <v>130</v>
      </c>
      <c r="D60" s="19" t="s">
        <v>60</v>
      </c>
      <c r="E60" s="26" t="s">
        <v>132</v>
      </c>
      <c r="F60" s="4" t="s">
        <v>127</v>
      </c>
      <c r="G60" s="35" t="s">
        <v>66</v>
      </c>
      <c r="H60" s="36" t="n">
        <v>0.666666666666667</v>
      </c>
      <c r="I60" s="36" t="n">
        <v>0.75</v>
      </c>
      <c r="J60" s="22" t="n">
        <v>50</v>
      </c>
      <c r="K60" s="37" t="s">
        <v>66</v>
      </c>
      <c r="L60" s="23" t="str">
        <f aca="false" t="array" ref="L60:L60">_xlfn.TEXTJOIN(", ",TRUE(),TEXT(H60+_xlfn.SEQUENCE(HOUR(I60-H60),1,0,1)/24,"hh:mm:ss") &amp; "-" &amp; TEXT(H60+_xlfn.SEQUENCE(HOUR(I60-H60),1,1,1)/24,"hh:mm:ss"))</f>
        <v>16:00:00-17:00:00, 17:00:00-18:00:00</v>
      </c>
      <c r="M60" s="1" t="str">
        <f aca="false">IF(F60="","Não alocada","Alocada")</f>
        <v>Alocada</v>
      </c>
      <c r="N60" s="17" t="s">
        <v>23</v>
      </c>
      <c r="O60" s="17" t="s">
        <v>24</v>
      </c>
    </row>
    <row r="61" customFormat="false" ht="15" hidden="false" customHeight="false" outlineLevel="0" collapsed="false">
      <c r="A61" s="18" t="s">
        <v>52</v>
      </c>
      <c r="B61" s="26" t="s">
        <v>133</v>
      </c>
      <c r="C61" s="26" t="s">
        <v>134</v>
      </c>
      <c r="D61" s="19" t="s">
        <v>27</v>
      </c>
      <c r="E61" s="26" t="s">
        <v>135</v>
      </c>
      <c r="F61" s="4" t="s">
        <v>127</v>
      </c>
      <c r="G61" s="20" t="s">
        <v>34</v>
      </c>
      <c r="H61" s="27" t="n">
        <v>0.333333333333333</v>
      </c>
      <c r="I61" s="27" t="n">
        <v>0.416666666666667</v>
      </c>
      <c r="J61" s="22" t="n">
        <v>41</v>
      </c>
      <c r="K61" s="19" t="s">
        <v>34</v>
      </c>
      <c r="L61" s="23" t="str">
        <f aca="false" t="array" ref="L61:L61">_xlfn.TEXTJOIN(", ",TRUE(),TEXT(H61+_xlfn.SEQUENCE(HOUR(I61-H61),1,0,1)/24,"hh:mm:ss") &amp; "-" &amp; TEXT(H61+_xlfn.SEQUENCE(HOUR(I61-H61),1,1,1)/24,"hh:mm:ss"))</f>
        <v>08:00:00-09:00:00, 09:00:00-10:00:00</v>
      </c>
      <c r="M61" s="1" t="str">
        <f aca="false">IF(F61="","Não alocada","Alocada")</f>
        <v>Alocada</v>
      </c>
      <c r="N61" s="17" t="s">
        <v>23</v>
      </c>
      <c r="O61" s="17" t="s">
        <v>24</v>
      </c>
    </row>
    <row r="62" customFormat="false" ht="15" hidden="false" customHeight="false" outlineLevel="0" collapsed="false">
      <c r="A62" s="18" t="s">
        <v>52</v>
      </c>
      <c r="B62" s="26" t="s">
        <v>133</v>
      </c>
      <c r="C62" s="26" t="s">
        <v>134</v>
      </c>
      <c r="D62" s="19" t="s">
        <v>60</v>
      </c>
      <c r="E62" s="26" t="s">
        <v>136</v>
      </c>
      <c r="F62" s="4" t="s">
        <v>127</v>
      </c>
      <c r="G62" s="20" t="s">
        <v>34</v>
      </c>
      <c r="H62" s="27" t="n">
        <v>0.583333333333333</v>
      </c>
      <c r="I62" s="27" t="n">
        <v>0.666666666666667</v>
      </c>
      <c r="J62" s="22" t="n">
        <v>41</v>
      </c>
      <c r="K62" s="19" t="s">
        <v>34</v>
      </c>
      <c r="L62" s="23" t="str">
        <f aca="false" t="array" ref="L62:L62">_xlfn.TEXTJOIN(", ",TRUE(),TEXT(H62+_xlfn.SEQUENCE(HOUR(I62-H62),1,0,1)/24,"hh:mm:ss") &amp; "-" &amp; TEXT(H62+_xlfn.SEQUENCE(HOUR(I62-H62),1,1,1)/24,"hh:mm:ss"))</f>
        <v>14:00:00-15:00:00, 15:00:00-16:00:00</v>
      </c>
      <c r="M62" s="1" t="str">
        <f aca="false">IF(F62="","Não alocada","Alocada")</f>
        <v>Alocada</v>
      </c>
      <c r="N62" s="17" t="s">
        <v>23</v>
      </c>
      <c r="O62" s="17" t="s">
        <v>24</v>
      </c>
    </row>
    <row r="63" customFormat="false" ht="15" hidden="false" customHeight="false" outlineLevel="0" collapsed="false">
      <c r="A63" s="18" t="s">
        <v>75</v>
      </c>
      <c r="B63" s="26" t="s">
        <v>137</v>
      </c>
      <c r="C63" s="26" t="s">
        <v>138</v>
      </c>
      <c r="D63" s="19" t="s">
        <v>76</v>
      </c>
      <c r="E63" s="26" t="s">
        <v>139</v>
      </c>
      <c r="F63" s="4" t="s">
        <v>127</v>
      </c>
      <c r="G63" s="20" t="s">
        <v>117</v>
      </c>
      <c r="H63" s="27" t="n">
        <v>0.583333333333333</v>
      </c>
      <c r="I63" s="27" t="n">
        <v>0.666666666666667</v>
      </c>
      <c r="J63" s="22" t="n">
        <v>57</v>
      </c>
      <c r="K63" s="29"/>
      <c r="L63" s="23" t="str">
        <f aca="false" t="array" ref="L63:L63">_xlfn.TEXTJOIN(", ",TRUE(),TEXT(H63+_xlfn.SEQUENCE(HOUR(I63-H63),1,0,1)/24,"hh:mm:ss") &amp; "-" &amp; TEXT(H63+_xlfn.SEQUENCE(HOUR(I63-H63),1,1,1)/24,"hh:mm:ss"))</f>
        <v>14:00:00-15:00:00, 15:00:00-16:00:00</v>
      </c>
      <c r="M63" s="1" t="str">
        <f aca="false">IF(F63="","Não alocada","Alocada")</f>
        <v>Alocada</v>
      </c>
      <c r="N63" s="17" t="s">
        <v>23</v>
      </c>
      <c r="O63" s="17" t="s">
        <v>24</v>
      </c>
    </row>
    <row r="64" customFormat="false" ht="15" hidden="false" customHeight="false" outlineLevel="0" collapsed="false">
      <c r="A64" s="18" t="s">
        <v>83</v>
      </c>
      <c r="B64" s="26" t="s">
        <v>140</v>
      </c>
      <c r="C64" s="26" t="s">
        <v>141</v>
      </c>
      <c r="D64" s="19" t="s">
        <v>76</v>
      </c>
      <c r="E64" s="26" t="s">
        <v>142</v>
      </c>
      <c r="F64" s="4" t="s">
        <v>127</v>
      </c>
      <c r="G64" s="20" t="s">
        <v>56</v>
      </c>
      <c r="H64" s="27" t="n">
        <v>0.75</v>
      </c>
      <c r="I64" s="27" t="n">
        <v>0.833333333333333</v>
      </c>
      <c r="J64" s="22" t="n">
        <v>33</v>
      </c>
      <c r="K64" s="29"/>
      <c r="L64" s="23" t="str">
        <f aca="false" t="array" ref="L64:L64">_xlfn.TEXTJOIN(", ",TRUE(),TEXT(H64+_xlfn.SEQUENCE(HOUR(I64-H64),1,0,1)/24,"hh:mm:ss") &amp; "-" &amp; TEXT(H64+_xlfn.SEQUENCE(HOUR(I64-H64),1,1,1)/24,"hh:mm:ss"))</f>
        <v>18:00:00-19:00:00, 19:00:00-20:00:00</v>
      </c>
      <c r="M64" s="1" t="str">
        <f aca="false">IF(F64="","Não alocada","Alocada")</f>
        <v>Alocada</v>
      </c>
      <c r="N64" s="17" t="s">
        <v>23</v>
      </c>
      <c r="O64" s="17" t="s">
        <v>24</v>
      </c>
    </row>
    <row r="65" customFormat="false" ht="15" hidden="false" customHeight="false" outlineLevel="0" collapsed="false">
      <c r="A65" s="18" t="s">
        <v>83</v>
      </c>
      <c r="B65" s="26" t="s">
        <v>137</v>
      </c>
      <c r="C65" s="26" t="s">
        <v>138</v>
      </c>
      <c r="D65" s="19" t="s">
        <v>76</v>
      </c>
      <c r="E65" s="26"/>
      <c r="F65" s="4" t="s">
        <v>127</v>
      </c>
      <c r="G65" s="20" t="s">
        <v>117</v>
      </c>
      <c r="H65" s="27" t="n">
        <v>0.583333333333333</v>
      </c>
      <c r="I65" s="27" t="n">
        <v>0.666666666666667</v>
      </c>
      <c r="J65" s="22" t="n">
        <v>57</v>
      </c>
      <c r="K65" s="29"/>
      <c r="L65" s="23" t="str">
        <f aca="false" t="array" ref="L65:L65">_xlfn.TEXTJOIN(", ",TRUE(),TEXT(H65+_xlfn.SEQUENCE(HOUR(I65-H65),1,0,1)/24,"hh:mm:ss") &amp; "-" &amp; TEXT(H65+_xlfn.SEQUENCE(HOUR(I65-H65),1,1,1)/24,"hh:mm:ss"))</f>
        <v>14:00:00-15:00:00, 15:00:00-16:00:00</v>
      </c>
      <c r="M65" s="1" t="str">
        <f aca="false">IF(F65="","Não alocada","Alocada")</f>
        <v>Alocada</v>
      </c>
      <c r="N65" s="17" t="s">
        <v>23</v>
      </c>
      <c r="O65" s="17" t="s">
        <v>24</v>
      </c>
    </row>
    <row r="66" customFormat="false" ht="15" hidden="false" customHeight="false" outlineLevel="0" collapsed="false">
      <c r="A66" s="18" t="s">
        <v>83</v>
      </c>
      <c r="B66" s="26" t="s">
        <v>143</v>
      </c>
      <c r="C66" s="26" t="s">
        <v>144</v>
      </c>
      <c r="D66" s="19" t="s">
        <v>76</v>
      </c>
      <c r="E66" s="26" t="s">
        <v>142</v>
      </c>
      <c r="F66" s="4" t="s">
        <v>127</v>
      </c>
      <c r="G66" s="20" t="s">
        <v>29</v>
      </c>
      <c r="H66" s="27" t="n">
        <v>0.666666666666667</v>
      </c>
      <c r="I66" s="27" t="n">
        <v>0.75</v>
      </c>
      <c r="J66" s="22" t="n">
        <v>44</v>
      </c>
      <c r="K66" s="29"/>
      <c r="L66" s="23" t="str">
        <f aca="false" t="array" ref="L66:L66">_xlfn.TEXTJOIN(", ",TRUE(),TEXT(H66+_xlfn.SEQUENCE(HOUR(I66-H66),1,0,1)/24,"hh:mm:ss") &amp; "-" &amp; TEXT(H66+_xlfn.SEQUENCE(HOUR(I66-H66),1,1,1)/24,"hh:mm:ss"))</f>
        <v>16:00:00-17:00:00, 17:00:00-18:00:00</v>
      </c>
      <c r="M66" s="1" t="str">
        <f aca="false">IF(F66="","Não alocada","Alocada")</f>
        <v>Alocada</v>
      </c>
      <c r="N66" s="17" t="s">
        <v>23</v>
      </c>
      <c r="O66" s="17" t="s">
        <v>24</v>
      </c>
    </row>
    <row r="67" customFormat="false" ht="15" hidden="false" customHeight="false" outlineLevel="0" collapsed="false">
      <c r="A67" s="18" t="s">
        <v>83</v>
      </c>
      <c r="B67" s="26" t="s">
        <v>145</v>
      </c>
      <c r="C67" s="26" t="s">
        <v>146</v>
      </c>
      <c r="D67" s="19" t="s">
        <v>76</v>
      </c>
      <c r="E67" s="26" t="s">
        <v>147</v>
      </c>
      <c r="F67" s="4" t="s">
        <v>127</v>
      </c>
      <c r="G67" s="20" t="s">
        <v>34</v>
      </c>
      <c r="H67" s="27" t="n">
        <v>0.583333333333333</v>
      </c>
      <c r="I67" s="27" t="n">
        <v>0.666666666666667</v>
      </c>
      <c r="J67" s="22" t="n">
        <v>60</v>
      </c>
      <c r="K67" s="29"/>
      <c r="L67" s="23" t="str">
        <f aca="false" t="array" ref="L67:L67">_xlfn.TEXTJOIN(", ",TRUE(),TEXT(H67+_xlfn.SEQUENCE(HOUR(I67-H67),1,0,1)/24,"hh:mm:ss") &amp; "-" &amp; TEXT(H67+_xlfn.SEQUENCE(HOUR(I67-H67),1,1,1)/24,"hh:mm:ss"))</f>
        <v>14:00:00-15:00:00, 15:00:00-16:00:00</v>
      </c>
      <c r="M67" s="1" t="str">
        <f aca="false">IF(F67="","Não alocada","Alocada")</f>
        <v>Alocada</v>
      </c>
      <c r="N67" s="17" t="s">
        <v>23</v>
      </c>
      <c r="O67" s="17" t="s">
        <v>24</v>
      </c>
    </row>
    <row r="68" customFormat="false" ht="15" hidden="false" customHeight="false" outlineLevel="0" collapsed="false">
      <c r="A68" s="18" t="s">
        <v>83</v>
      </c>
      <c r="B68" s="26" t="s">
        <v>148</v>
      </c>
      <c r="C68" s="26" t="s">
        <v>149</v>
      </c>
      <c r="D68" s="19" t="s">
        <v>76</v>
      </c>
      <c r="E68" s="26" t="s">
        <v>147</v>
      </c>
      <c r="F68" s="4" t="s">
        <v>127</v>
      </c>
      <c r="G68" s="20" t="s">
        <v>34</v>
      </c>
      <c r="H68" s="27" t="n">
        <v>0.666666666666667</v>
      </c>
      <c r="I68" s="27" t="n">
        <v>0.75</v>
      </c>
      <c r="J68" s="22" t="n">
        <v>58</v>
      </c>
      <c r="K68" s="29"/>
      <c r="L68" s="23" t="str">
        <f aca="false" t="array" ref="L68:L68">_xlfn.TEXTJOIN(", ",TRUE(),TEXT(H68+_xlfn.SEQUENCE(HOUR(I68-H68),1,0,1)/24,"hh:mm:ss") &amp; "-" &amp; TEXT(H68+_xlfn.SEQUENCE(HOUR(I68-H68),1,1,1)/24,"hh:mm:ss"))</f>
        <v>16:00:00-17:00:00, 17:00:00-18:00:00</v>
      </c>
      <c r="M68" s="1" t="str">
        <f aca="false">IF(F68="","Não alocada","Alocada")</f>
        <v>Alocada</v>
      </c>
      <c r="N68" s="17" t="s">
        <v>23</v>
      </c>
      <c r="O68" s="17" t="s">
        <v>24</v>
      </c>
    </row>
    <row r="69" customFormat="false" ht="15" hidden="false" customHeight="false" outlineLevel="0" collapsed="false">
      <c r="A69" s="18" t="s">
        <v>92</v>
      </c>
      <c r="B69" s="32" t="s">
        <v>150</v>
      </c>
      <c r="C69" s="32" t="s">
        <v>151</v>
      </c>
      <c r="D69" s="19" t="s">
        <v>27</v>
      </c>
      <c r="E69" s="32" t="s">
        <v>152</v>
      </c>
      <c r="F69" s="4" t="s">
        <v>127</v>
      </c>
      <c r="G69" s="20" t="s">
        <v>66</v>
      </c>
      <c r="H69" s="34" t="s">
        <v>153</v>
      </c>
      <c r="I69" s="34" t="s">
        <v>154</v>
      </c>
      <c r="J69" s="22" t="n">
        <v>42</v>
      </c>
      <c r="K69" s="29"/>
      <c r="L69" s="23" t="str">
        <f aca="false" t="array" ref="L69:L69">_xlfn.TEXTJOIN(", ",TRUE(),TEXT(H69+_xlfn.SEQUENCE(HOUR(I69-H69),1,0,1)/24,"hh:mm:ss") &amp; "-" &amp; TEXT(H69+_xlfn.SEQUENCE(HOUR(I69-H69),1,1,1)/24,"hh:mm:ss"))</f>
        <v>08:00:00-09:00:00, 09:00:00-10:00:00</v>
      </c>
      <c r="M69" s="1" t="str">
        <f aca="false">IF(F69="","Não alocada","Alocada")</f>
        <v>Alocada</v>
      </c>
      <c r="N69" s="17" t="s">
        <v>23</v>
      </c>
      <c r="O69" s="17" t="s">
        <v>24</v>
      </c>
    </row>
    <row r="70" customFormat="false" ht="15" hidden="false" customHeight="false" outlineLevel="0" collapsed="false">
      <c r="A70" s="18" t="s">
        <v>92</v>
      </c>
      <c r="B70" s="32" t="s">
        <v>124</v>
      </c>
      <c r="C70" s="32" t="s">
        <v>125</v>
      </c>
      <c r="D70" s="19" t="s">
        <v>73</v>
      </c>
      <c r="E70" s="32" t="s">
        <v>155</v>
      </c>
      <c r="F70" s="4" t="s">
        <v>127</v>
      </c>
      <c r="G70" s="20" t="s">
        <v>34</v>
      </c>
      <c r="H70" s="34" t="s">
        <v>154</v>
      </c>
      <c r="I70" s="34" t="s">
        <v>156</v>
      </c>
      <c r="J70" s="22" t="n">
        <v>48</v>
      </c>
      <c r="K70" s="29"/>
      <c r="L70" s="23" t="str">
        <f aca="false" t="array" ref="L70:L70">_xlfn.TEXTJOIN(", ",TRUE(),TEXT(H70+_xlfn.SEQUENCE(HOUR(I70-H70),1,0,1)/24,"hh:mm:ss") &amp; "-" &amp; TEXT(H70+_xlfn.SEQUENCE(HOUR(I70-H70),1,1,1)/24,"hh:mm:ss"))</f>
        <v>10:00:00-11:00:00, 11:00:00-12:00:00</v>
      </c>
      <c r="M70" s="1" t="str">
        <f aca="false">IF(F70="","Não alocada","Alocada")</f>
        <v>Alocada</v>
      </c>
      <c r="N70" s="17" t="s">
        <v>23</v>
      </c>
      <c r="O70" s="17" t="s">
        <v>24</v>
      </c>
    </row>
    <row r="71" customFormat="false" ht="15" hidden="false" customHeight="false" outlineLevel="0" collapsed="false">
      <c r="A71" s="18" t="s">
        <v>35</v>
      </c>
      <c r="B71" s="24" t="s">
        <v>157</v>
      </c>
      <c r="C71" s="24" t="s">
        <v>158</v>
      </c>
      <c r="D71" s="19" t="s">
        <v>27</v>
      </c>
      <c r="E71" s="24" t="s">
        <v>159</v>
      </c>
      <c r="F71" s="4" t="s">
        <v>160</v>
      </c>
      <c r="G71" s="20" t="s">
        <v>29</v>
      </c>
      <c r="H71" s="25" t="n">
        <v>0.333333333333333</v>
      </c>
      <c r="I71" s="25" t="n">
        <v>0.416666666666667</v>
      </c>
      <c r="J71" s="22" t="n">
        <v>55</v>
      </c>
      <c r="K71" s="19" t="s">
        <v>29</v>
      </c>
      <c r="L71" s="23" t="str">
        <f aca="false" t="array" ref="L71:L71">_xlfn.TEXTJOIN(", ",TRUE(),TEXT(H71+_xlfn.SEQUENCE(HOUR(I71-H71),1,0,1)/24,"hh:mm:ss") &amp; "-" &amp; TEXT(H71+_xlfn.SEQUENCE(HOUR(I71-H71),1,1,1)/24,"hh:mm:ss"))</f>
        <v>08:00:00-09:00:00, 09:00:00-10:00:00</v>
      </c>
      <c r="M71" s="1" t="str">
        <f aca="false">IF(F71="","Não alocada","Alocada")</f>
        <v>Alocada</v>
      </c>
      <c r="N71" s="17" t="s">
        <v>23</v>
      </c>
      <c r="O71" s="17" t="s">
        <v>24</v>
      </c>
    </row>
    <row r="72" customFormat="false" ht="15" hidden="false" customHeight="false" outlineLevel="0" collapsed="false">
      <c r="A72" s="28" t="s">
        <v>69</v>
      </c>
      <c r="B72" s="26" t="s">
        <v>161</v>
      </c>
      <c r="C72" s="26" t="s">
        <v>162</v>
      </c>
      <c r="D72" s="19" t="s">
        <v>19</v>
      </c>
      <c r="E72" s="26" t="s">
        <v>163</v>
      </c>
      <c r="F72" s="4" t="s">
        <v>160</v>
      </c>
      <c r="G72" s="20" t="s">
        <v>66</v>
      </c>
      <c r="H72" s="27" t="n">
        <v>0.583333333333333</v>
      </c>
      <c r="I72" s="27" t="n">
        <v>0.666666666666667</v>
      </c>
      <c r="J72" s="22" t="n">
        <v>50</v>
      </c>
      <c r="K72" s="29"/>
      <c r="L72" s="23" t="str">
        <f aca="false" t="array" ref="L72:L72">_xlfn.TEXTJOIN(", ",TRUE(),TEXT(H72+_xlfn.SEQUENCE(HOUR(I72-H72),1,0,1)/24,"hh:mm:ss") &amp; "-" &amp; TEXT(H72+_xlfn.SEQUENCE(HOUR(I72-H72),1,1,1)/24,"hh:mm:ss"))</f>
        <v>14:00:00-15:00:00, 15:00:00-16:00:00</v>
      </c>
      <c r="M72" s="1" t="str">
        <f aca="false">IF(F72="","Não alocada","Alocada")</f>
        <v>Alocada</v>
      </c>
      <c r="N72" s="17" t="s">
        <v>23</v>
      </c>
      <c r="O72" s="17" t="s">
        <v>24</v>
      </c>
    </row>
    <row r="73" customFormat="false" ht="15" hidden="false" customHeight="false" outlineLevel="0" collapsed="false">
      <c r="A73" s="28" t="s">
        <v>69</v>
      </c>
      <c r="B73" s="26" t="s">
        <v>164</v>
      </c>
      <c r="C73" s="26" t="s">
        <v>165</v>
      </c>
      <c r="D73" s="19" t="s">
        <v>19</v>
      </c>
      <c r="E73" s="26" t="s">
        <v>166</v>
      </c>
      <c r="F73" s="4" t="s">
        <v>160</v>
      </c>
      <c r="G73" s="20" t="s">
        <v>34</v>
      </c>
      <c r="H73" s="27" t="n">
        <v>0.75</v>
      </c>
      <c r="I73" s="27" t="n">
        <v>0.833333333333333</v>
      </c>
      <c r="J73" s="22" t="n">
        <v>50</v>
      </c>
      <c r="K73" s="29"/>
      <c r="L73" s="23" t="str">
        <f aca="false" t="array" ref="L73:L73">_xlfn.TEXTJOIN(", ",TRUE(),TEXT(H73+_xlfn.SEQUENCE(HOUR(I73-H73),1,0,1)/24,"hh:mm:ss") &amp; "-" &amp; TEXT(H73+_xlfn.SEQUENCE(HOUR(I73-H73),1,1,1)/24,"hh:mm:ss"))</f>
        <v>18:00:00-19:00:00, 19:00:00-20:00:00</v>
      </c>
      <c r="M73" s="1" t="str">
        <f aca="false">IF(F73="","Não alocada","Alocada")</f>
        <v>Alocada</v>
      </c>
      <c r="N73" s="17" t="s">
        <v>23</v>
      </c>
      <c r="O73" s="17" t="s">
        <v>24</v>
      </c>
    </row>
    <row r="74" customFormat="false" ht="15" hidden="false" customHeight="false" outlineLevel="0" collapsed="false">
      <c r="A74" s="18" t="s">
        <v>77</v>
      </c>
      <c r="B74" s="26" t="s">
        <v>167</v>
      </c>
      <c r="C74" s="26" t="s">
        <v>168</v>
      </c>
      <c r="D74" s="19" t="s">
        <v>81</v>
      </c>
      <c r="E74" s="26" t="s">
        <v>79</v>
      </c>
      <c r="F74" s="4" t="s">
        <v>160</v>
      </c>
      <c r="G74" s="20" t="s">
        <v>34</v>
      </c>
      <c r="H74" s="27" t="n">
        <v>0.416666666666667</v>
      </c>
      <c r="I74" s="27" t="n">
        <v>0.5</v>
      </c>
      <c r="J74" s="22" t="n">
        <v>60</v>
      </c>
      <c r="K74" s="26" t="s">
        <v>80</v>
      </c>
      <c r="L74" s="23" t="str">
        <f aca="false" t="array" ref="L74:L74">_xlfn.TEXTJOIN(", ",TRUE(),TEXT(H74+_xlfn.SEQUENCE(HOUR(I74-H74),1,0,1)/24,"hh:mm:ss") &amp; "-" &amp; TEXT(H74+_xlfn.SEQUENCE(HOUR(I74-H74),1,1,1)/24,"hh:mm:ss"))</f>
        <v>10:00:00-11:00:00, 11:00:00-12:00:00</v>
      </c>
      <c r="M74" s="1" t="str">
        <f aca="false">IF(F74="","Não alocada","Alocada")</f>
        <v>Alocada</v>
      </c>
      <c r="N74" s="17" t="s">
        <v>23</v>
      </c>
      <c r="O74" s="17" t="s">
        <v>24</v>
      </c>
    </row>
    <row r="75" customFormat="false" ht="15" hidden="false" customHeight="false" outlineLevel="0" collapsed="false">
      <c r="A75" s="18" t="s">
        <v>77</v>
      </c>
      <c r="B75" s="26" t="s">
        <v>169</v>
      </c>
      <c r="C75" s="26" t="s">
        <v>170</v>
      </c>
      <c r="D75" s="19" t="s">
        <v>81</v>
      </c>
      <c r="E75" s="26" t="s">
        <v>171</v>
      </c>
      <c r="F75" s="4" t="s">
        <v>160</v>
      </c>
      <c r="G75" s="20" t="s">
        <v>34</v>
      </c>
      <c r="H75" s="27" t="n">
        <v>0.666666666666667</v>
      </c>
      <c r="I75" s="27" t="n">
        <v>0.75</v>
      </c>
      <c r="J75" s="22" t="n">
        <v>65</v>
      </c>
      <c r="K75" s="26" t="s">
        <v>80</v>
      </c>
      <c r="L75" s="23" t="str">
        <f aca="false" t="array" ref="L75:L75">_xlfn.TEXTJOIN(", ",TRUE(),TEXT(H75+_xlfn.SEQUENCE(HOUR(I75-H75),1,0,1)/24,"hh:mm:ss") &amp; "-" &amp; TEXT(H75+_xlfn.SEQUENCE(HOUR(I75-H75),1,1,1)/24,"hh:mm:ss"))</f>
        <v>16:00:00-17:00:00, 17:00:00-18:00:00</v>
      </c>
      <c r="M75" s="1" t="str">
        <f aca="false">IF(F75="","Não alocada","Alocada")</f>
        <v>Alocada</v>
      </c>
      <c r="N75" s="17" t="s">
        <v>23</v>
      </c>
      <c r="O75" s="17" t="s">
        <v>24</v>
      </c>
    </row>
    <row r="76" customFormat="false" ht="15" hidden="false" customHeight="false" outlineLevel="0" collapsed="false">
      <c r="A76" s="18" t="s">
        <v>82</v>
      </c>
      <c r="B76" s="30" t="s">
        <v>161</v>
      </c>
      <c r="C76" s="30" t="s">
        <v>172</v>
      </c>
      <c r="D76" s="19" t="s">
        <v>19</v>
      </c>
      <c r="E76" s="26" t="s">
        <v>44</v>
      </c>
      <c r="F76" s="4" t="s">
        <v>160</v>
      </c>
      <c r="G76" s="20" t="s">
        <v>66</v>
      </c>
      <c r="H76" s="27" t="n">
        <v>0.583333333333333</v>
      </c>
      <c r="I76" s="27" t="n">
        <v>0.666666666666667</v>
      </c>
      <c r="J76" s="22" t="n">
        <v>50</v>
      </c>
      <c r="K76" s="29"/>
      <c r="L76" s="23" t="str">
        <f aca="false" t="array" ref="L76:L76">_xlfn.TEXTJOIN(", ",TRUE(),TEXT(H76+_xlfn.SEQUENCE(HOUR(I76-H76),1,0,1)/24,"hh:mm:ss") &amp; "-" &amp; TEXT(H76+_xlfn.SEQUENCE(HOUR(I76-H76),1,1,1)/24,"hh:mm:ss"))</f>
        <v>14:00:00-15:00:00, 15:00:00-16:00:00</v>
      </c>
      <c r="M76" s="1" t="str">
        <f aca="false">IF(F76="","Não alocada","Alocada")</f>
        <v>Alocada</v>
      </c>
      <c r="N76" s="17" t="s">
        <v>23</v>
      </c>
      <c r="O76" s="17" t="s">
        <v>24</v>
      </c>
    </row>
    <row r="77" customFormat="false" ht="15" hidden="false" customHeight="false" outlineLevel="0" collapsed="false">
      <c r="A77" s="18" t="s">
        <v>83</v>
      </c>
      <c r="B77" s="26" t="s">
        <v>169</v>
      </c>
      <c r="C77" s="26" t="s">
        <v>173</v>
      </c>
      <c r="D77" s="19" t="s">
        <v>76</v>
      </c>
      <c r="E77" s="26"/>
      <c r="F77" s="4" t="s">
        <v>160</v>
      </c>
      <c r="G77" s="20" t="s">
        <v>117</v>
      </c>
      <c r="H77" s="27" t="n">
        <v>0.666666666666667</v>
      </c>
      <c r="I77" s="27" t="n">
        <v>0.75</v>
      </c>
      <c r="J77" s="22" t="n">
        <v>65</v>
      </c>
      <c r="K77" s="29"/>
      <c r="L77" s="23" t="str">
        <f aca="false" t="array" ref="L77:L77">_xlfn.TEXTJOIN(", ",TRUE(),TEXT(H77+_xlfn.SEQUENCE(HOUR(I77-H77),1,0,1)/24,"hh:mm:ss") &amp; "-" &amp; TEXT(H77+_xlfn.SEQUENCE(HOUR(I77-H77),1,1,1)/24,"hh:mm:ss"))</f>
        <v>16:00:00-17:00:00, 17:00:00-18:00:00</v>
      </c>
      <c r="M77" s="1" t="str">
        <f aca="false">IF(F77="","Não alocada","Alocada")</f>
        <v>Alocada</v>
      </c>
      <c r="N77" s="17" t="s">
        <v>23</v>
      </c>
      <c r="O77" s="17" t="s">
        <v>24</v>
      </c>
    </row>
    <row r="78" customFormat="false" ht="15" hidden="false" customHeight="false" outlineLevel="0" collapsed="false">
      <c r="A78" s="18" t="s">
        <v>83</v>
      </c>
      <c r="B78" s="26" t="s">
        <v>174</v>
      </c>
      <c r="C78" s="26" t="s">
        <v>175</v>
      </c>
      <c r="D78" s="19" t="s">
        <v>76</v>
      </c>
      <c r="E78" s="26"/>
      <c r="F78" s="4" t="s">
        <v>160</v>
      </c>
      <c r="G78" s="20" t="s">
        <v>29</v>
      </c>
      <c r="H78" s="27" t="n">
        <v>0.583333333333333</v>
      </c>
      <c r="I78" s="27" t="n">
        <v>0.666666666666667</v>
      </c>
      <c r="J78" s="22" t="n">
        <v>64</v>
      </c>
      <c r="K78" s="29"/>
      <c r="L78" s="23" t="str">
        <f aca="false" t="array" ref="L78:L78">_xlfn.TEXTJOIN(", ",TRUE(),TEXT(H78+_xlfn.SEQUENCE(HOUR(I78-H78),1,0,1)/24,"hh:mm:ss") &amp; "-" &amp; TEXT(H78+_xlfn.SEQUENCE(HOUR(I78-H78),1,1,1)/24,"hh:mm:ss"))</f>
        <v>14:00:00-15:00:00, 15:00:00-16:00:00</v>
      </c>
      <c r="M78" s="1" t="str">
        <f aca="false">IF(F78="","Não alocada","Alocada")</f>
        <v>Alocada</v>
      </c>
      <c r="N78" s="17" t="s">
        <v>23</v>
      </c>
      <c r="O78" s="17" t="s">
        <v>24</v>
      </c>
    </row>
    <row r="79" customFormat="false" ht="15" hidden="false" customHeight="false" outlineLevel="0" collapsed="false">
      <c r="A79" s="18" t="s">
        <v>83</v>
      </c>
      <c r="B79" s="26" t="s">
        <v>167</v>
      </c>
      <c r="C79" s="38" t="s">
        <v>168</v>
      </c>
      <c r="D79" s="19" t="s">
        <v>76</v>
      </c>
      <c r="E79" s="26"/>
      <c r="F79" s="4" t="s">
        <v>160</v>
      </c>
      <c r="G79" s="20" t="s">
        <v>34</v>
      </c>
      <c r="H79" s="27" t="n">
        <v>0.416666666666667</v>
      </c>
      <c r="I79" s="27" t="n">
        <v>0.5</v>
      </c>
      <c r="J79" s="22" t="n">
        <v>60</v>
      </c>
      <c r="K79" s="29"/>
      <c r="L79" s="23" t="str">
        <f aca="false" t="array" ref="L79:L79">_xlfn.TEXTJOIN(", ",TRUE(),TEXT(H79+_xlfn.SEQUENCE(HOUR(I79-H79),1,0,1)/24,"hh:mm:ss") &amp; "-" &amp; TEXT(H79+_xlfn.SEQUENCE(HOUR(I79-H79),1,1,1)/24,"hh:mm:ss"))</f>
        <v>10:00:00-11:00:00, 11:00:00-12:00:00</v>
      </c>
      <c r="M79" s="1" t="str">
        <f aca="false">IF(F79="","Não alocada","Alocada")</f>
        <v>Alocada</v>
      </c>
      <c r="N79" s="17" t="s">
        <v>23</v>
      </c>
      <c r="O79" s="17" t="s">
        <v>24</v>
      </c>
    </row>
    <row r="80" customFormat="false" ht="15" hidden="false" customHeight="false" outlineLevel="0" collapsed="false">
      <c r="A80" s="18" t="s">
        <v>83</v>
      </c>
      <c r="B80" s="26" t="s">
        <v>176</v>
      </c>
      <c r="C80" s="26" t="s">
        <v>177</v>
      </c>
      <c r="D80" s="19" t="s">
        <v>76</v>
      </c>
      <c r="E80" s="26" t="s">
        <v>178</v>
      </c>
      <c r="F80" s="4" t="s">
        <v>160</v>
      </c>
      <c r="G80" s="20" t="s">
        <v>34</v>
      </c>
      <c r="H80" s="27" t="n">
        <v>0.583333333333333</v>
      </c>
      <c r="I80" s="27" t="n">
        <v>0.666666666666667</v>
      </c>
      <c r="J80" s="22" t="n">
        <v>69</v>
      </c>
      <c r="K80" s="29"/>
      <c r="L80" s="23" t="str">
        <f aca="false" t="array" ref="L80:L80">_xlfn.TEXTJOIN(", ",TRUE(),TEXT(H80+_xlfn.SEQUENCE(HOUR(I80-H80),1,0,1)/24,"hh:mm:ss") &amp; "-" &amp; TEXT(H80+_xlfn.SEQUENCE(HOUR(I80-H80),1,1,1)/24,"hh:mm:ss"))</f>
        <v>14:00:00-15:00:00, 15:00:00-16:00:00</v>
      </c>
      <c r="M80" s="1" t="str">
        <f aca="false">IF(F80="","Não alocada","Alocada")</f>
        <v>Alocada</v>
      </c>
      <c r="N80" s="17" t="s">
        <v>23</v>
      </c>
      <c r="O80" s="17" t="s">
        <v>24</v>
      </c>
    </row>
    <row r="81" customFormat="false" ht="15" hidden="false" customHeight="false" outlineLevel="0" collapsed="false">
      <c r="A81" s="18" t="s">
        <v>83</v>
      </c>
      <c r="B81" s="39" t="s">
        <v>179</v>
      </c>
      <c r="C81" s="26" t="s">
        <v>180</v>
      </c>
      <c r="D81" s="19" t="s">
        <v>76</v>
      </c>
      <c r="E81" s="26" t="s">
        <v>178</v>
      </c>
      <c r="F81" s="4" t="s">
        <v>160</v>
      </c>
      <c r="G81" s="20" t="s">
        <v>34</v>
      </c>
      <c r="H81" s="27" t="n">
        <v>0.666666666666667</v>
      </c>
      <c r="I81" s="27" t="n">
        <v>0.75</v>
      </c>
      <c r="J81" s="22" t="n">
        <v>10</v>
      </c>
      <c r="K81" s="29"/>
      <c r="L81" s="23" t="str">
        <f aca="false" t="array" ref="L81:L81">_xlfn.TEXTJOIN(", ",TRUE(),TEXT(H81+_xlfn.SEQUENCE(HOUR(I81-H81),1,0,1)/24,"hh:mm:ss") &amp; "-" &amp; TEXT(H81+_xlfn.SEQUENCE(HOUR(I81-H81),1,1,1)/24,"hh:mm:ss"))</f>
        <v>16:00:00-17:00:00, 17:00:00-18:00:00</v>
      </c>
      <c r="M81" s="1" t="str">
        <f aca="false">IF(F81="","Não alocada","Alocada")</f>
        <v>Alocada</v>
      </c>
      <c r="N81" s="17" t="s">
        <v>23</v>
      </c>
      <c r="O81" s="17" t="s">
        <v>24</v>
      </c>
    </row>
    <row r="82" customFormat="false" ht="15" hidden="false" customHeight="false" outlineLevel="0" collapsed="false">
      <c r="A82" s="18" t="s">
        <v>83</v>
      </c>
      <c r="B82" s="26" t="s">
        <v>181</v>
      </c>
      <c r="C82" s="26" t="s">
        <v>182</v>
      </c>
      <c r="D82" s="19" t="s">
        <v>76</v>
      </c>
      <c r="E82" s="26"/>
      <c r="F82" s="4" t="s">
        <v>160</v>
      </c>
      <c r="G82" s="20" t="s">
        <v>34</v>
      </c>
      <c r="H82" s="27" t="n">
        <v>0.833333333333333</v>
      </c>
      <c r="I82" s="27" t="n">
        <v>0.916666666666667</v>
      </c>
      <c r="J82" s="22" t="n">
        <v>28</v>
      </c>
      <c r="K82" s="29"/>
      <c r="L82" s="23" t="str">
        <f aca="false" t="array" ref="L82:L82">_xlfn.TEXTJOIN(", ",TRUE(),TEXT(H82+_xlfn.SEQUENCE(HOUR(I82-H82),1,0,1)/24,"hh:mm:ss") &amp; "-" &amp; TEXT(H82+_xlfn.SEQUENCE(HOUR(I82-H82),1,1,1)/24,"hh:mm:ss"))</f>
        <v>20:00:00-21:00:00, 21:00:00-22:00:00</v>
      </c>
      <c r="M82" s="1" t="str">
        <f aca="false">IF(F82="","Não alocada","Alocada")</f>
        <v>Alocada</v>
      </c>
      <c r="N82" s="17" t="s">
        <v>23</v>
      </c>
      <c r="O82" s="17" t="s">
        <v>24</v>
      </c>
    </row>
    <row r="83" customFormat="false" ht="15" hidden="false" customHeight="false" outlineLevel="0" collapsed="false">
      <c r="A83" s="18" t="s">
        <v>16</v>
      </c>
      <c r="B83" s="19" t="s">
        <v>183</v>
      </c>
      <c r="C83" s="19" t="s">
        <v>184</v>
      </c>
      <c r="D83" s="19" t="s">
        <v>73</v>
      </c>
      <c r="E83" s="19" t="s">
        <v>185</v>
      </c>
      <c r="F83" s="4" t="s">
        <v>186</v>
      </c>
      <c r="G83" s="40" t="s">
        <v>56</v>
      </c>
      <c r="H83" s="21" t="n">
        <v>0.666666666666667</v>
      </c>
      <c r="I83" s="21" t="n">
        <v>0.75</v>
      </c>
      <c r="J83" s="22" t="n">
        <v>45</v>
      </c>
      <c r="K83" s="19" t="s">
        <v>56</v>
      </c>
      <c r="L83" s="23" t="str">
        <f aca="false" t="array" ref="L83:L83">_xlfn.TEXTJOIN(", ",TRUE(),TEXT(H83+_xlfn.SEQUENCE(HOUR(I83-H83),1,0,1)/24,"hh:mm:ss") &amp; "-" &amp; TEXT(H83+_xlfn.SEQUENCE(HOUR(I83-H83),1,1,1)/24,"hh:mm:ss"))</f>
        <v>16:00:00-17:00:00, 17:00:00-18:00:00</v>
      </c>
      <c r="M83" s="1" t="str">
        <f aca="false">IF(F83="","Não alocada","Alocada")</f>
        <v>Alocada</v>
      </c>
      <c r="N83" s="17" t="s">
        <v>23</v>
      </c>
      <c r="O83" s="17" t="s">
        <v>24</v>
      </c>
    </row>
    <row r="84" customFormat="false" ht="15" hidden="false" customHeight="false" outlineLevel="0" collapsed="false">
      <c r="A84" s="28" t="s">
        <v>69</v>
      </c>
      <c r="B84" s="26" t="s">
        <v>183</v>
      </c>
      <c r="C84" s="26" t="s">
        <v>187</v>
      </c>
      <c r="D84" s="19" t="s">
        <v>73</v>
      </c>
      <c r="E84" s="26"/>
      <c r="F84" s="4" t="s">
        <v>186</v>
      </c>
      <c r="G84" s="20" t="s">
        <v>34</v>
      </c>
      <c r="H84" s="27" t="n">
        <v>0.666666666666667</v>
      </c>
      <c r="I84" s="27" t="n">
        <v>0.75</v>
      </c>
      <c r="J84" s="22" t="n">
        <v>45</v>
      </c>
      <c r="K84" s="29"/>
      <c r="L84" s="23" t="str">
        <f aca="false" t="array" ref="L84:L84">_xlfn.TEXTJOIN(", ",TRUE(),TEXT(H84+_xlfn.SEQUENCE(HOUR(I84-H84),1,0,1)/24,"hh:mm:ss") &amp; "-" &amp; TEXT(H84+_xlfn.SEQUENCE(HOUR(I84-H84),1,1,1)/24,"hh:mm:ss"))</f>
        <v>16:00:00-17:00:00, 17:00:00-18:00:00</v>
      </c>
      <c r="M84" s="1" t="str">
        <f aca="false">IF(F84="","Não alocada","Alocada")</f>
        <v>Alocada</v>
      </c>
      <c r="N84" s="17" t="s">
        <v>23</v>
      </c>
      <c r="O84" s="17" t="s">
        <v>24</v>
      </c>
    </row>
    <row r="85" customFormat="false" ht="15" hidden="false" customHeight="false" outlineLevel="0" collapsed="false">
      <c r="A85" s="28" t="s">
        <v>69</v>
      </c>
      <c r="B85" s="41" t="s">
        <v>188</v>
      </c>
      <c r="C85" s="41" t="s">
        <v>189</v>
      </c>
      <c r="D85" s="19" t="s">
        <v>60</v>
      </c>
      <c r="E85" s="41" t="s">
        <v>190</v>
      </c>
      <c r="F85" s="4" t="s">
        <v>186</v>
      </c>
      <c r="G85" s="20" t="s">
        <v>34</v>
      </c>
      <c r="H85" s="42" t="n">
        <v>0.416666666666667</v>
      </c>
      <c r="I85" s="42" t="n">
        <v>0.5</v>
      </c>
      <c r="J85" s="22" t="n">
        <v>30</v>
      </c>
      <c r="K85" s="43"/>
      <c r="L85" s="23" t="str">
        <f aca="false" t="array" ref="L85:L85">_xlfn.TEXTJOIN(", ",TRUE(),TEXT(H85+_xlfn.SEQUENCE(HOUR(I85-H85),1,0,1)/24,"hh:mm:ss") &amp; "-" &amp; TEXT(H85+_xlfn.SEQUENCE(HOUR(I85-H85),1,1,1)/24,"hh:mm:ss"))</f>
        <v>10:00:00-11:00:00, 11:00:00-12:00:00</v>
      </c>
      <c r="M85" s="1" t="str">
        <f aca="false">IF(F85="","Não alocada","Alocada")</f>
        <v>Alocada</v>
      </c>
      <c r="N85" s="17" t="s">
        <v>23</v>
      </c>
      <c r="O85" s="17" t="s">
        <v>24</v>
      </c>
    </row>
    <row r="86" customFormat="false" ht="15" hidden="false" customHeight="false" outlineLevel="0" collapsed="false">
      <c r="A86" s="28" t="s">
        <v>69</v>
      </c>
      <c r="B86" s="26" t="s">
        <v>183</v>
      </c>
      <c r="C86" s="26" t="s">
        <v>191</v>
      </c>
      <c r="D86" s="19" t="s">
        <v>76</v>
      </c>
      <c r="E86" s="26"/>
      <c r="F86" s="4" t="s">
        <v>186</v>
      </c>
      <c r="G86" s="20"/>
      <c r="H86" s="44"/>
      <c r="I86" s="44"/>
      <c r="J86" s="22" t="n">
        <v>45</v>
      </c>
      <c r="K86" s="29"/>
      <c r="L86" s="23" t="e">
        <f aca="false" t="array" ref="L86:L86">_xlfn.TEXTJOIN(", ",TRUE(),TEXT(H86+_xlfn.SEQUENCE(HOUR(I86-H86),1,0,1)/24,"hh:mm:ss") &amp; "-" &amp; TEXT(H86+_xlfn.SEQUENCE(HOUR(I86-H86),1,1,1)/24,"hh:mm:ss"))</f>
        <v>#VALUE!</v>
      </c>
      <c r="M86" s="1" t="str">
        <f aca="false">IF(F86="","Não alocada","Alocada")</f>
        <v>Alocada</v>
      </c>
      <c r="N86" s="17" t="s">
        <v>23</v>
      </c>
      <c r="O86" s="17" t="s">
        <v>24</v>
      </c>
    </row>
    <row r="87" customFormat="false" ht="15" hidden="false" customHeight="false" outlineLevel="0" collapsed="false">
      <c r="A87" s="18" t="s">
        <v>75</v>
      </c>
      <c r="B87" s="26" t="s">
        <v>188</v>
      </c>
      <c r="C87" s="26" t="s">
        <v>192</v>
      </c>
      <c r="D87" s="19" t="s">
        <v>76</v>
      </c>
      <c r="E87" s="26" t="s">
        <v>193</v>
      </c>
      <c r="F87" s="4" t="s">
        <v>186</v>
      </c>
      <c r="G87" s="20" t="s">
        <v>29</v>
      </c>
      <c r="H87" s="27" t="n">
        <v>0.416666666666667</v>
      </c>
      <c r="I87" s="27" t="n">
        <v>0.5</v>
      </c>
      <c r="J87" s="22" t="n">
        <v>30</v>
      </c>
      <c r="K87" s="29"/>
      <c r="L87" s="23" t="str">
        <f aca="false" t="array" ref="L87:L87">_xlfn.TEXTJOIN(", ",TRUE(),TEXT(H87+_xlfn.SEQUENCE(HOUR(I87-H87),1,0,1)/24,"hh:mm:ss") &amp; "-" &amp; TEXT(H87+_xlfn.SEQUENCE(HOUR(I87-H87),1,1,1)/24,"hh:mm:ss"))</f>
        <v>10:00:00-11:00:00, 11:00:00-12:00:00</v>
      </c>
      <c r="M87" s="1" t="str">
        <f aca="false">IF(F87="","Não alocada","Alocada")</f>
        <v>Alocada</v>
      </c>
      <c r="N87" s="17" t="s">
        <v>23</v>
      </c>
      <c r="O87" s="17" t="s">
        <v>24</v>
      </c>
    </row>
    <row r="88" customFormat="false" ht="15" hidden="false" customHeight="false" outlineLevel="0" collapsed="false">
      <c r="A88" s="18" t="s">
        <v>90</v>
      </c>
      <c r="B88" s="31" t="s">
        <v>183</v>
      </c>
      <c r="C88" s="31" t="s">
        <v>184</v>
      </c>
      <c r="D88" s="19" t="s">
        <v>19</v>
      </c>
      <c r="E88" s="26"/>
      <c r="F88" s="4" t="s">
        <v>186</v>
      </c>
      <c r="G88" s="20" t="s">
        <v>34</v>
      </c>
      <c r="H88" s="27" t="n">
        <v>0.583333333333333</v>
      </c>
      <c r="I88" s="27" t="n">
        <v>0.666666666666667</v>
      </c>
      <c r="J88" s="22" t="n">
        <v>45</v>
      </c>
      <c r="K88" s="29"/>
      <c r="L88" s="23" t="str">
        <f aca="false" t="array" ref="L88:L88">_xlfn.TEXTJOIN(", ",TRUE(),TEXT(H88+_xlfn.SEQUENCE(HOUR(I88-H88),1,0,1)/24,"hh:mm:ss") &amp; "-" &amp; TEXT(H88+_xlfn.SEQUENCE(HOUR(I88-H88),1,1,1)/24,"hh:mm:ss"))</f>
        <v>14:00:00-15:00:00, 15:00:00-16:00:00</v>
      </c>
      <c r="M88" s="1" t="str">
        <f aca="false">IF(F88="","Não alocada","Alocada")</f>
        <v>Alocada</v>
      </c>
      <c r="N88" s="17" t="s">
        <v>23</v>
      </c>
      <c r="O88" s="17" t="s">
        <v>24</v>
      </c>
    </row>
    <row r="89" customFormat="false" ht="15" hidden="false" customHeight="false" outlineLevel="0" collapsed="false">
      <c r="A89" s="18" t="s">
        <v>52</v>
      </c>
      <c r="B89" s="26" t="s">
        <v>194</v>
      </c>
      <c r="C89" s="26" t="s">
        <v>195</v>
      </c>
      <c r="D89" s="19" t="s">
        <v>27</v>
      </c>
      <c r="E89" s="26" t="s">
        <v>196</v>
      </c>
      <c r="F89" s="4" t="s">
        <v>197</v>
      </c>
      <c r="G89" s="20" t="s">
        <v>117</v>
      </c>
      <c r="H89" s="27" t="n">
        <v>0.333333333333333</v>
      </c>
      <c r="I89" s="27" t="n">
        <v>0.416666666666667</v>
      </c>
      <c r="J89" s="22" t="n">
        <v>57</v>
      </c>
      <c r="K89" s="19" t="s">
        <v>117</v>
      </c>
      <c r="L89" s="23" t="str">
        <f aca="false" t="array" ref="L89:L89">_xlfn.TEXTJOIN(", ",TRUE(),TEXT(H89+_xlfn.SEQUENCE(HOUR(I89-H89),1,0,1)/24,"hh:mm:ss") &amp; "-" &amp; TEXT(H89+_xlfn.SEQUENCE(HOUR(I89-H89),1,1,1)/24,"hh:mm:ss"))</f>
        <v>08:00:00-09:00:00, 09:00:00-10:00:00</v>
      </c>
      <c r="M89" s="1" t="str">
        <f aca="false">IF(F89="","Não alocada","Alocada")</f>
        <v>Alocada</v>
      </c>
      <c r="N89" s="17" t="s">
        <v>23</v>
      </c>
      <c r="O89" s="17" t="s">
        <v>24</v>
      </c>
    </row>
    <row r="90" customFormat="false" ht="15" hidden="false" customHeight="false" outlineLevel="0" collapsed="false">
      <c r="A90" s="18" t="s">
        <v>52</v>
      </c>
      <c r="B90" s="26" t="s">
        <v>194</v>
      </c>
      <c r="C90" s="26" t="s">
        <v>195</v>
      </c>
      <c r="D90" s="19" t="s">
        <v>60</v>
      </c>
      <c r="E90" s="26" t="s">
        <v>198</v>
      </c>
      <c r="F90" s="4" t="s">
        <v>197</v>
      </c>
      <c r="G90" s="20" t="s">
        <v>117</v>
      </c>
      <c r="H90" s="27" t="n">
        <v>0.583333333333333</v>
      </c>
      <c r="I90" s="27" t="n">
        <v>0.666666666666667</v>
      </c>
      <c r="J90" s="22" t="n">
        <v>57</v>
      </c>
      <c r="K90" s="19" t="s">
        <v>117</v>
      </c>
      <c r="L90" s="23" t="str">
        <f aca="false" t="array" ref="L90:L90">_xlfn.TEXTJOIN(", ",TRUE(),TEXT(H90+_xlfn.SEQUENCE(HOUR(I90-H90),1,0,1)/24,"hh:mm:ss") &amp; "-" &amp; TEXT(H90+_xlfn.SEQUENCE(HOUR(I90-H90),1,1,1)/24,"hh:mm:ss"))</f>
        <v>14:00:00-15:00:00, 15:00:00-16:00:00</v>
      </c>
      <c r="M90" s="1" t="str">
        <f aca="false">IF(F90="","Não alocada","Alocada")</f>
        <v>Alocada</v>
      </c>
      <c r="N90" s="17" t="s">
        <v>23</v>
      </c>
      <c r="O90" s="17" t="s">
        <v>24</v>
      </c>
    </row>
    <row r="91" customFormat="false" ht="15" hidden="false" customHeight="false" outlineLevel="0" collapsed="false">
      <c r="A91" s="18" t="s">
        <v>52</v>
      </c>
      <c r="B91" s="26" t="s">
        <v>199</v>
      </c>
      <c r="C91" s="26" t="s">
        <v>200</v>
      </c>
      <c r="D91" s="19" t="s">
        <v>27</v>
      </c>
      <c r="E91" s="26" t="s">
        <v>201</v>
      </c>
      <c r="F91" s="4" t="s">
        <v>197</v>
      </c>
      <c r="G91" s="20" t="s">
        <v>34</v>
      </c>
      <c r="H91" s="27" t="n">
        <v>0.583333333333333</v>
      </c>
      <c r="I91" s="27" t="n">
        <v>0.666666666666667</v>
      </c>
      <c r="J91" s="22" t="n">
        <v>27</v>
      </c>
      <c r="K91" s="19" t="s">
        <v>34</v>
      </c>
      <c r="L91" s="23" t="str">
        <f aca="false" t="array" ref="L91:L91">_xlfn.TEXTJOIN(", ",TRUE(),TEXT(H91+_xlfn.SEQUENCE(HOUR(I91-H91),1,0,1)/24,"hh:mm:ss") &amp; "-" &amp; TEXT(H91+_xlfn.SEQUENCE(HOUR(I91-H91),1,1,1)/24,"hh:mm:ss"))</f>
        <v>14:00:00-15:00:00, 15:00:00-16:00:00</v>
      </c>
      <c r="M91" s="1" t="str">
        <f aca="false">IF(F91="","Não alocada","Alocada")</f>
        <v>Alocada</v>
      </c>
      <c r="N91" s="17" t="s">
        <v>23</v>
      </c>
      <c r="O91" s="17" t="s">
        <v>24</v>
      </c>
    </row>
    <row r="92" customFormat="false" ht="15" hidden="false" customHeight="false" outlineLevel="0" collapsed="false">
      <c r="A92" s="18" t="s">
        <v>52</v>
      </c>
      <c r="B92" s="26" t="s">
        <v>199</v>
      </c>
      <c r="C92" s="26" t="s">
        <v>200</v>
      </c>
      <c r="D92" s="19" t="s">
        <v>60</v>
      </c>
      <c r="E92" s="26" t="s">
        <v>202</v>
      </c>
      <c r="F92" s="4" t="s">
        <v>197</v>
      </c>
      <c r="G92" s="20" t="s">
        <v>34</v>
      </c>
      <c r="H92" s="27" t="n">
        <v>0.333333333333333</v>
      </c>
      <c r="I92" s="27" t="n">
        <v>0.416666666666667</v>
      </c>
      <c r="J92" s="22" t="n">
        <v>27</v>
      </c>
      <c r="K92" s="19" t="s">
        <v>34</v>
      </c>
      <c r="L92" s="23" t="str">
        <f aca="false" t="array" ref="L92:L92">_xlfn.TEXTJOIN(", ",TRUE(),TEXT(H92+_xlfn.SEQUENCE(HOUR(I92-H92),1,0,1)/24,"hh:mm:ss") &amp; "-" &amp; TEXT(H92+_xlfn.SEQUENCE(HOUR(I92-H92),1,1,1)/24,"hh:mm:ss"))</f>
        <v>08:00:00-09:00:00, 09:00:00-10:00:00</v>
      </c>
      <c r="M92" s="1" t="str">
        <f aca="false">IF(F92="","Não alocada","Alocada")</f>
        <v>Alocada</v>
      </c>
      <c r="N92" s="17" t="s">
        <v>23</v>
      </c>
      <c r="O92" s="17" t="s">
        <v>24</v>
      </c>
    </row>
    <row r="93" customFormat="false" ht="15" hidden="false" customHeight="false" outlineLevel="0" collapsed="false">
      <c r="A93" s="18" t="s">
        <v>83</v>
      </c>
      <c r="B93" s="26" t="s">
        <v>203</v>
      </c>
      <c r="C93" s="26" t="s">
        <v>204</v>
      </c>
      <c r="D93" s="19" t="s">
        <v>76</v>
      </c>
      <c r="E93" s="26" t="s">
        <v>205</v>
      </c>
      <c r="F93" s="4" t="s">
        <v>197</v>
      </c>
      <c r="G93" s="20" t="s">
        <v>29</v>
      </c>
      <c r="H93" s="27" t="n">
        <v>0.583333333333333</v>
      </c>
      <c r="I93" s="27" t="n">
        <v>0.666666666666667</v>
      </c>
      <c r="J93" s="22" t="n">
        <v>48</v>
      </c>
      <c r="K93" s="29"/>
      <c r="L93" s="23" t="str">
        <f aca="false" t="array" ref="L93:L93">_xlfn.TEXTJOIN(", ",TRUE(),TEXT(H93+_xlfn.SEQUENCE(HOUR(I93-H93),1,0,1)/24,"hh:mm:ss") &amp; "-" &amp; TEXT(H93+_xlfn.SEQUENCE(HOUR(I93-H93),1,1,1)/24,"hh:mm:ss"))</f>
        <v>14:00:00-15:00:00, 15:00:00-16:00:00</v>
      </c>
      <c r="M93" s="1" t="str">
        <f aca="false">IF(F93="","Não alocada","Alocada")</f>
        <v>Alocada</v>
      </c>
      <c r="N93" s="17" t="s">
        <v>23</v>
      </c>
      <c r="O93" s="17" t="s">
        <v>24</v>
      </c>
    </row>
    <row r="94" customFormat="false" ht="15" hidden="false" customHeight="false" outlineLevel="0" collapsed="false">
      <c r="A94" s="18" t="s">
        <v>35</v>
      </c>
      <c r="B94" s="24" t="s">
        <v>206</v>
      </c>
      <c r="C94" s="24" t="s">
        <v>207</v>
      </c>
      <c r="D94" s="19" t="s">
        <v>27</v>
      </c>
      <c r="E94" s="24" t="s">
        <v>208</v>
      </c>
      <c r="F94" s="4" t="s">
        <v>209</v>
      </c>
      <c r="G94" s="45" t="s">
        <v>117</v>
      </c>
      <c r="H94" s="25" t="n">
        <v>0.666666666666667</v>
      </c>
      <c r="I94" s="25" t="n">
        <v>0.75</v>
      </c>
      <c r="J94" s="22" t="n">
        <v>54</v>
      </c>
      <c r="K94" s="19" t="s">
        <v>117</v>
      </c>
      <c r="L94" s="23" t="str">
        <f aca="false" t="array" ref="L94:L94">_xlfn.TEXTJOIN(", ",TRUE(),TEXT(H94+_xlfn.SEQUENCE(HOUR(I94-H94),1,0,1)/24,"hh:mm:ss") &amp; "-" &amp; TEXT(H94+_xlfn.SEQUENCE(HOUR(I94-H94),1,1,1)/24,"hh:mm:ss"))</f>
        <v>16:00:00-17:00:00, 17:00:00-18:00:00</v>
      </c>
      <c r="M94" s="1" t="str">
        <f aca="false">IF(F94="","Não alocada","Alocada")</f>
        <v>Alocada</v>
      </c>
      <c r="N94" s="17" t="s">
        <v>23</v>
      </c>
      <c r="O94" s="17" t="s">
        <v>24</v>
      </c>
    </row>
    <row r="95" customFormat="false" ht="15" hidden="false" customHeight="false" outlineLevel="0" collapsed="false">
      <c r="A95" s="18" t="s">
        <v>35</v>
      </c>
      <c r="B95" s="24" t="s">
        <v>210</v>
      </c>
      <c r="C95" s="24" t="s">
        <v>211</v>
      </c>
      <c r="D95" s="19" t="s">
        <v>19</v>
      </c>
      <c r="E95" s="24" t="s">
        <v>212</v>
      </c>
      <c r="F95" s="4" t="s">
        <v>209</v>
      </c>
      <c r="G95" s="20" t="s">
        <v>213</v>
      </c>
      <c r="H95" s="25" t="n">
        <v>0.333333333333333</v>
      </c>
      <c r="I95" s="25" t="n">
        <v>0.416666666666667</v>
      </c>
      <c r="J95" s="22" t="n">
        <v>37</v>
      </c>
      <c r="K95" s="19" t="s">
        <v>213</v>
      </c>
      <c r="L95" s="23" t="str">
        <f aca="false" t="array" ref="L95:L95">_xlfn.TEXTJOIN(", ",TRUE(),TEXT(H95+_xlfn.SEQUENCE(HOUR(I95-H95),1,0,1)/24,"hh:mm:ss") &amp; "-" &amp; TEXT(H95+_xlfn.SEQUENCE(HOUR(I95-H95),1,1,1)/24,"hh:mm:ss"))</f>
        <v>08:00:00-09:00:00, 09:00:00-10:00:00</v>
      </c>
      <c r="M95" s="1" t="str">
        <f aca="false">IF(F95="","Não alocada","Alocada")</f>
        <v>Alocada</v>
      </c>
      <c r="N95" s="17" t="s">
        <v>23</v>
      </c>
      <c r="O95" s="17" t="s">
        <v>24</v>
      </c>
    </row>
    <row r="96" customFormat="false" ht="15" hidden="false" customHeight="false" outlineLevel="0" collapsed="false">
      <c r="A96" s="28" t="s">
        <v>69</v>
      </c>
      <c r="B96" s="26" t="s">
        <v>214</v>
      </c>
      <c r="C96" s="26" t="s">
        <v>215</v>
      </c>
      <c r="D96" s="19" t="s">
        <v>19</v>
      </c>
      <c r="E96" s="26" t="s">
        <v>216</v>
      </c>
      <c r="F96" s="4" t="s">
        <v>209</v>
      </c>
      <c r="G96" s="20" t="s">
        <v>34</v>
      </c>
      <c r="H96" s="27" t="n">
        <v>0.416666666666667</v>
      </c>
      <c r="I96" s="27" t="n">
        <v>0.5</v>
      </c>
      <c r="J96" s="22" t="n">
        <v>20</v>
      </c>
      <c r="K96" s="29"/>
      <c r="L96" s="23" t="str">
        <f aca="false" t="array" ref="L96:L96">_xlfn.TEXTJOIN(", ",TRUE(),TEXT(H96+_xlfn.SEQUENCE(HOUR(I96-H96),1,0,1)/24,"hh:mm:ss") &amp; "-" &amp; TEXT(H96+_xlfn.SEQUENCE(HOUR(I96-H96),1,1,1)/24,"hh:mm:ss"))</f>
        <v>10:00:00-11:00:00, 11:00:00-12:00:00</v>
      </c>
      <c r="M96" s="1" t="str">
        <f aca="false">IF(F96="","Não alocada","Alocada")</f>
        <v>Alocada</v>
      </c>
      <c r="N96" s="17" t="s">
        <v>23</v>
      </c>
      <c r="O96" s="17" t="s">
        <v>24</v>
      </c>
    </row>
    <row r="97" customFormat="false" ht="15" hidden="false" customHeight="false" outlineLevel="0" collapsed="false">
      <c r="A97" s="18" t="s">
        <v>75</v>
      </c>
      <c r="B97" s="26" t="s">
        <v>217</v>
      </c>
      <c r="C97" s="26" t="s">
        <v>218</v>
      </c>
      <c r="D97" s="19" t="s">
        <v>76</v>
      </c>
      <c r="E97" s="26" t="s">
        <v>219</v>
      </c>
      <c r="F97" s="4" t="s">
        <v>209</v>
      </c>
      <c r="G97" s="20" t="s">
        <v>34</v>
      </c>
      <c r="H97" s="27" t="n">
        <v>0.333333333333333</v>
      </c>
      <c r="I97" s="27" t="n">
        <v>0.416666666666667</v>
      </c>
      <c r="J97" s="22" t="n">
        <v>16</v>
      </c>
      <c r="K97" s="29"/>
      <c r="L97" s="23" t="str">
        <f aca="false" t="array" ref="L97:L97">_xlfn.TEXTJOIN(", ",TRUE(),TEXT(H97+_xlfn.SEQUENCE(HOUR(I97-H97),1,0,1)/24,"hh:mm:ss") &amp; "-" &amp; TEXT(H97+_xlfn.SEQUENCE(HOUR(I97-H97),1,1,1)/24,"hh:mm:ss"))</f>
        <v>08:00:00-09:00:00, 09:00:00-10:00:00</v>
      </c>
      <c r="M97" s="1" t="str">
        <f aca="false">IF(F97="","Não alocada","Alocada")</f>
        <v>Alocada</v>
      </c>
      <c r="N97" s="17" t="s">
        <v>23</v>
      </c>
      <c r="O97" s="17" t="s">
        <v>24</v>
      </c>
    </row>
    <row r="98" customFormat="false" ht="15" hidden="false" customHeight="false" outlineLevel="0" collapsed="false">
      <c r="A98" s="18" t="s">
        <v>75</v>
      </c>
      <c r="B98" s="26" t="s">
        <v>217</v>
      </c>
      <c r="C98" s="26" t="s">
        <v>218</v>
      </c>
      <c r="D98" s="19" t="s">
        <v>76</v>
      </c>
      <c r="E98" s="26" t="s">
        <v>220</v>
      </c>
      <c r="F98" s="4" t="s">
        <v>209</v>
      </c>
      <c r="G98" s="20" t="s">
        <v>34</v>
      </c>
      <c r="H98" s="27" t="n">
        <v>0.416666666666667</v>
      </c>
      <c r="I98" s="27" t="n">
        <v>0.5</v>
      </c>
      <c r="J98" s="22" t="n">
        <v>16</v>
      </c>
      <c r="K98" s="29"/>
      <c r="L98" s="23" t="str">
        <f aca="false" t="array" ref="L98:L98">_xlfn.TEXTJOIN(", ",TRUE(),TEXT(H98+_xlfn.SEQUENCE(HOUR(I98-H98),1,0,1)/24,"hh:mm:ss") &amp; "-" &amp; TEXT(H98+_xlfn.SEQUENCE(HOUR(I98-H98),1,1,1)/24,"hh:mm:ss"))</f>
        <v>10:00:00-11:00:00, 11:00:00-12:00:00</v>
      </c>
      <c r="M98" s="1" t="str">
        <f aca="false">IF(F98="","Não alocada","Alocada")</f>
        <v>Alocada</v>
      </c>
      <c r="N98" s="17" t="s">
        <v>23</v>
      </c>
      <c r="O98" s="17" t="s">
        <v>24</v>
      </c>
    </row>
    <row r="99" customFormat="false" ht="15" hidden="false" customHeight="false" outlineLevel="0" collapsed="false">
      <c r="A99" s="18" t="s">
        <v>75</v>
      </c>
      <c r="B99" s="26" t="s">
        <v>214</v>
      </c>
      <c r="C99" s="26" t="s">
        <v>215</v>
      </c>
      <c r="D99" s="19" t="s">
        <v>76</v>
      </c>
      <c r="E99" s="26" t="s">
        <v>219</v>
      </c>
      <c r="F99" s="4" t="s">
        <v>209</v>
      </c>
      <c r="G99" s="20" t="s">
        <v>34</v>
      </c>
      <c r="H99" s="27" t="n">
        <v>0.416666666666667</v>
      </c>
      <c r="I99" s="27" t="n">
        <v>0.5</v>
      </c>
      <c r="J99" s="22" t="n">
        <v>20</v>
      </c>
      <c r="K99" s="29"/>
      <c r="L99" s="23" t="str">
        <f aca="false" t="array" ref="L99:L99">_xlfn.TEXTJOIN(", ",TRUE(),TEXT(H99+_xlfn.SEQUENCE(HOUR(I99-H99),1,0,1)/24,"hh:mm:ss") &amp; "-" &amp; TEXT(H99+_xlfn.SEQUENCE(HOUR(I99-H99),1,1,1)/24,"hh:mm:ss"))</f>
        <v>10:00:00-11:00:00, 11:00:00-12:00:00</v>
      </c>
      <c r="M99" s="1" t="str">
        <f aca="false">IF(F99="","Não alocada","Alocada")</f>
        <v>Alocada</v>
      </c>
      <c r="N99" s="17" t="s">
        <v>23</v>
      </c>
      <c r="O99" s="17" t="s">
        <v>24</v>
      </c>
    </row>
    <row r="100" customFormat="false" ht="15" hidden="false" customHeight="false" outlineLevel="0" collapsed="false">
      <c r="A100" s="18" t="s">
        <v>221</v>
      </c>
      <c r="B100" s="26" t="s">
        <v>222</v>
      </c>
      <c r="C100" s="26" t="s">
        <v>223</v>
      </c>
      <c r="D100" s="19" t="s">
        <v>73</v>
      </c>
      <c r="E100" s="26" t="s">
        <v>224</v>
      </c>
      <c r="F100" s="4" t="s">
        <v>225</v>
      </c>
      <c r="G100" s="20" t="s">
        <v>56</v>
      </c>
      <c r="H100" s="27" t="n">
        <v>0.375</v>
      </c>
      <c r="I100" s="27" t="n">
        <v>0.5</v>
      </c>
      <c r="J100" s="22" t="n">
        <v>28</v>
      </c>
      <c r="K100" s="19" t="s">
        <v>56</v>
      </c>
      <c r="L100" s="23" t="str">
        <f aca="false" t="array" ref="L100:L100">_xlfn.TEXTJOIN(", ",TRUE(),TEXT(H100+_xlfn.SEQUENCE(HOUR(I100-H100),1,0,1)/24,"hh:mm:ss") &amp; "-" &amp; TEXT(H100+_xlfn.SEQUENCE(HOUR(I100-H100),1,1,1)/24,"hh:mm:ss"))</f>
        <v>09:00:00-10:00:00, 10:00:00-11:00:00, 11:00:00-12:00:00</v>
      </c>
      <c r="M100" s="1" t="str">
        <f aca="false">IF(F100="","Não alocada","Alocada")</f>
        <v>Alocada</v>
      </c>
      <c r="N100" s="17" t="s">
        <v>23</v>
      </c>
      <c r="O100" s="17" t="s">
        <v>24</v>
      </c>
    </row>
    <row r="101" customFormat="false" ht="15" hidden="false" customHeight="false" outlineLevel="0" collapsed="false">
      <c r="A101" s="18" t="s">
        <v>221</v>
      </c>
      <c r="B101" s="26" t="s">
        <v>226</v>
      </c>
      <c r="C101" s="26" t="s">
        <v>227</v>
      </c>
      <c r="D101" s="19" t="s">
        <v>228</v>
      </c>
      <c r="E101" s="26" t="s">
        <v>229</v>
      </c>
      <c r="F101" s="4" t="s">
        <v>225</v>
      </c>
      <c r="G101" s="20" t="s">
        <v>22</v>
      </c>
      <c r="H101" s="27" t="n">
        <v>0.416666666666667</v>
      </c>
      <c r="I101" s="27" t="n">
        <v>0.541666666666667</v>
      </c>
      <c r="J101" s="22" t="n">
        <v>23</v>
      </c>
      <c r="K101" s="19" t="s">
        <v>22</v>
      </c>
      <c r="L101" s="23" t="str">
        <f aca="false" t="array" ref="L101:L101">_xlfn.TEXTJOIN(", ",TRUE(),TEXT(H101+_xlfn.SEQUENCE(HOUR(I101-H101),1,0,1)/24,"hh:mm:ss") &amp; "-" &amp; TEXT(H101+_xlfn.SEQUENCE(HOUR(I101-H101),1,1,1)/24,"hh:mm:ss"))</f>
        <v>10:00:00-11:00:00, 11:00:00-12:00:00, 12:00:00-13:00:00</v>
      </c>
      <c r="M101" s="1" t="str">
        <f aca="false">IF(F101="","Não alocada","Alocada")</f>
        <v>Alocada</v>
      </c>
      <c r="N101" s="17" t="s">
        <v>23</v>
      </c>
      <c r="O101" s="17" t="s">
        <v>24</v>
      </c>
    </row>
    <row r="102" customFormat="false" ht="15" hidden="false" customHeight="false" outlineLevel="0" collapsed="false">
      <c r="A102" s="18" t="s">
        <v>221</v>
      </c>
      <c r="B102" s="26" t="s">
        <v>222</v>
      </c>
      <c r="C102" s="26" t="s">
        <v>223</v>
      </c>
      <c r="D102" s="19" t="s">
        <v>19</v>
      </c>
      <c r="E102" s="26" t="s">
        <v>224</v>
      </c>
      <c r="F102" s="4" t="s">
        <v>225</v>
      </c>
      <c r="G102" s="20" t="s">
        <v>66</v>
      </c>
      <c r="H102" s="27" t="n">
        <v>0.333333333333333</v>
      </c>
      <c r="I102" s="27" t="n">
        <v>0.458333333333333</v>
      </c>
      <c r="J102" s="22" t="n">
        <v>28</v>
      </c>
      <c r="K102" s="19" t="s">
        <v>66</v>
      </c>
      <c r="L102" s="23" t="str">
        <f aca="false" t="array" ref="L102:L102">_xlfn.TEXTJOIN(", ",TRUE(),TEXT(H102+_xlfn.SEQUENCE(HOUR(I102-H102),1,0,1)/24,"hh:mm:ss") &amp; "-" &amp; TEXT(H102+_xlfn.SEQUENCE(HOUR(I102-H102),1,1,1)/24,"hh:mm:ss"))</f>
        <v>08:00:00-09:00:00, 09:00:00-10:00:00, 10:00:00-11:00:00</v>
      </c>
      <c r="M102" s="1" t="str">
        <f aca="false">IF(F102="","Não alocada","Alocada")</f>
        <v>Alocada</v>
      </c>
      <c r="N102" s="17" t="s">
        <v>23</v>
      </c>
      <c r="O102" s="17" t="s">
        <v>24</v>
      </c>
    </row>
    <row r="103" customFormat="false" ht="15" hidden="false" customHeight="false" outlineLevel="0" collapsed="false">
      <c r="A103" s="18" t="s">
        <v>52</v>
      </c>
      <c r="B103" s="26" t="s">
        <v>230</v>
      </c>
      <c r="C103" s="26" t="s">
        <v>187</v>
      </c>
      <c r="D103" s="19" t="s">
        <v>60</v>
      </c>
      <c r="E103" s="26" t="s">
        <v>231</v>
      </c>
      <c r="F103" s="4" t="s">
        <v>225</v>
      </c>
      <c r="G103" s="20" t="s">
        <v>43</v>
      </c>
      <c r="H103" s="27" t="n">
        <v>0.416666666666667</v>
      </c>
      <c r="I103" s="27" t="n">
        <v>0.5</v>
      </c>
      <c r="J103" s="22" t="n">
        <v>60</v>
      </c>
      <c r="K103" s="19" t="s">
        <v>43</v>
      </c>
      <c r="L103" s="23" t="str">
        <f aca="false" t="array" ref="L103:L103">_xlfn.TEXTJOIN(", ",TRUE(),TEXT(H103+_xlfn.SEQUENCE(HOUR(I103-H103),1,0,1)/24,"hh:mm:ss") &amp; "-" &amp; TEXT(H103+_xlfn.SEQUENCE(HOUR(I103-H103),1,1,1)/24,"hh:mm:ss"))</f>
        <v>10:00:00-11:00:00, 11:00:00-12:00:00</v>
      </c>
      <c r="M103" s="1" t="str">
        <f aca="false">IF(F103="","Não alocada","Alocada")</f>
        <v>Alocada</v>
      </c>
      <c r="N103" s="17" t="s">
        <v>23</v>
      </c>
      <c r="O103" s="17" t="s">
        <v>24</v>
      </c>
    </row>
    <row r="104" customFormat="false" ht="15" hidden="false" customHeight="false" outlineLevel="0" collapsed="false">
      <c r="A104" s="18" t="s">
        <v>52</v>
      </c>
      <c r="B104" s="26" t="s">
        <v>230</v>
      </c>
      <c r="C104" s="26" t="s">
        <v>187</v>
      </c>
      <c r="D104" s="19" t="s">
        <v>41</v>
      </c>
      <c r="E104" s="26" t="s">
        <v>232</v>
      </c>
      <c r="F104" s="4" t="s">
        <v>225</v>
      </c>
      <c r="G104" s="20" t="s">
        <v>43</v>
      </c>
      <c r="H104" s="27" t="n">
        <v>0.583333333333333</v>
      </c>
      <c r="I104" s="27" t="n">
        <v>0.666666666666667</v>
      </c>
      <c r="J104" s="22" t="n">
        <v>60</v>
      </c>
      <c r="K104" s="19" t="s">
        <v>43</v>
      </c>
      <c r="L104" s="23" t="str">
        <f aca="false" t="array" ref="L104:L104">_xlfn.TEXTJOIN(", ",TRUE(),TEXT(H104+_xlfn.SEQUENCE(HOUR(I104-H104),1,0,1)/24,"hh:mm:ss") &amp; "-" &amp; TEXT(H104+_xlfn.SEQUENCE(HOUR(I104-H104),1,1,1)/24,"hh:mm:ss"))</f>
        <v>14:00:00-15:00:00, 15:00:00-16:00:00</v>
      </c>
      <c r="M104" s="1" t="str">
        <f aca="false">IF(F104="","Não alocada","Alocada")</f>
        <v>Alocada</v>
      </c>
      <c r="N104" s="17" t="s">
        <v>23</v>
      </c>
      <c r="O104" s="17" t="s">
        <v>24</v>
      </c>
    </row>
    <row r="105" customFormat="false" ht="15" hidden="false" customHeight="false" outlineLevel="0" collapsed="false">
      <c r="A105" s="18" t="s">
        <v>52</v>
      </c>
      <c r="B105" s="26" t="s">
        <v>233</v>
      </c>
      <c r="C105" s="26" t="s">
        <v>234</v>
      </c>
      <c r="D105" s="19" t="s">
        <v>19</v>
      </c>
      <c r="E105" s="26" t="s">
        <v>235</v>
      </c>
      <c r="F105" s="4" t="s">
        <v>225</v>
      </c>
      <c r="G105" s="20" t="s">
        <v>34</v>
      </c>
      <c r="H105" s="27" t="n">
        <v>0.416666666666667</v>
      </c>
      <c r="I105" s="27" t="n">
        <v>0.5</v>
      </c>
      <c r="J105" s="22" t="n">
        <v>62</v>
      </c>
      <c r="K105" s="19" t="s">
        <v>34</v>
      </c>
      <c r="L105" s="23" t="str">
        <f aca="false" t="array" ref="L105:L105">_xlfn.TEXTJOIN(", ",TRUE(),TEXT(H105+_xlfn.SEQUENCE(HOUR(I105-H105),1,0,1)/24,"hh:mm:ss") &amp; "-" &amp; TEXT(H105+_xlfn.SEQUENCE(HOUR(I105-H105),1,1,1)/24,"hh:mm:ss"))</f>
        <v>10:00:00-11:00:00, 11:00:00-12:00:00</v>
      </c>
      <c r="M105" s="1" t="str">
        <f aca="false">IF(F105="","Não alocada","Alocada")</f>
        <v>Alocada</v>
      </c>
      <c r="N105" s="17" t="s">
        <v>23</v>
      </c>
      <c r="O105" s="17" t="s">
        <v>24</v>
      </c>
    </row>
    <row r="106" customFormat="false" ht="15" hidden="false" customHeight="false" outlineLevel="0" collapsed="false">
      <c r="A106" s="18" t="s">
        <v>52</v>
      </c>
      <c r="B106" s="26" t="s">
        <v>233</v>
      </c>
      <c r="C106" s="26" t="s">
        <v>234</v>
      </c>
      <c r="D106" s="19" t="s">
        <v>73</v>
      </c>
      <c r="E106" s="26" t="s">
        <v>235</v>
      </c>
      <c r="F106" s="4" t="s">
        <v>225</v>
      </c>
      <c r="G106" s="20" t="s">
        <v>34</v>
      </c>
      <c r="H106" s="27" t="n">
        <v>0.666666666666667</v>
      </c>
      <c r="I106" s="27" t="n">
        <v>0.75</v>
      </c>
      <c r="J106" s="22" t="n">
        <v>62</v>
      </c>
      <c r="K106" s="19" t="s">
        <v>34</v>
      </c>
      <c r="L106" s="23" t="str">
        <f aca="false" t="array" ref="L106:L106">_xlfn.TEXTJOIN(", ",TRUE(),TEXT(H106+_xlfn.SEQUENCE(HOUR(I106-H106),1,0,1)/24,"hh:mm:ss") &amp; "-" &amp; TEXT(H106+_xlfn.SEQUENCE(HOUR(I106-H106),1,1,1)/24,"hh:mm:ss"))</f>
        <v>16:00:00-17:00:00, 17:00:00-18:00:00</v>
      </c>
      <c r="M106" s="1" t="str">
        <f aca="false">IF(F106="","Não alocada","Alocada")</f>
        <v>Alocada</v>
      </c>
      <c r="N106" s="17" t="s">
        <v>23</v>
      </c>
      <c r="O106" s="17" t="s">
        <v>24</v>
      </c>
    </row>
    <row r="107" customFormat="false" ht="15" hidden="false" customHeight="false" outlineLevel="0" collapsed="false">
      <c r="A107" s="18" t="s">
        <v>90</v>
      </c>
      <c r="B107" s="31" t="s">
        <v>236</v>
      </c>
      <c r="C107" s="31" t="s">
        <v>237</v>
      </c>
      <c r="D107" s="19" t="s">
        <v>19</v>
      </c>
      <c r="E107" s="31" t="s">
        <v>238</v>
      </c>
      <c r="F107" s="4" t="s">
        <v>225</v>
      </c>
      <c r="G107" s="20" t="s">
        <v>34</v>
      </c>
      <c r="H107" s="27" t="n">
        <v>0.333333333333333</v>
      </c>
      <c r="I107" s="27" t="n">
        <v>0.416666666666667</v>
      </c>
      <c r="J107" s="22" t="n">
        <v>35</v>
      </c>
      <c r="K107" s="29"/>
      <c r="L107" s="23" t="str">
        <f aca="false" t="array" ref="L107:L107">_xlfn.TEXTJOIN(", ",TRUE(),TEXT(H107+_xlfn.SEQUENCE(HOUR(I107-H107),1,0,1)/24,"hh:mm:ss") &amp; "-" &amp; TEXT(H107+_xlfn.SEQUENCE(HOUR(I107-H107),1,1,1)/24,"hh:mm:ss"))</f>
        <v>08:00:00-09:00:00, 09:00:00-10:00:00</v>
      </c>
      <c r="M107" s="1" t="str">
        <f aca="false">IF(F107="","Não alocada","Alocada")</f>
        <v>Alocada</v>
      </c>
      <c r="N107" s="17" t="s">
        <v>23</v>
      </c>
      <c r="O107" s="17" t="s">
        <v>24</v>
      </c>
    </row>
    <row r="108" customFormat="false" ht="15" hidden="false" customHeight="false" outlineLevel="0" collapsed="false">
      <c r="A108" s="18" t="s">
        <v>16</v>
      </c>
      <c r="B108" s="19" t="s">
        <v>239</v>
      </c>
      <c r="C108" s="19" t="s">
        <v>240</v>
      </c>
      <c r="D108" s="19" t="s">
        <v>241</v>
      </c>
      <c r="E108" s="19" t="s">
        <v>185</v>
      </c>
      <c r="F108" s="4" t="s">
        <v>242</v>
      </c>
      <c r="G108" s="40" t="s">
        <v>56</v>
      </c>
      <c r="H108" s="21" t="n">
        <v>0.416666666666667</v>
      </c>
      <c r="I108" s="21" t="n">
        <v>0.541666666666667</v>
      </c>
      <c r="J108" s="22" t="n">
        <v>30</v>
      </c>
      <c r="K108" s="19" t="s">
        <v>56</v>
      </c>
      <c r="L108" s="23" t="str">
        <f aca="false" t="array" ref="L108:L108">_xlfn.TEXTJOIN(", ",TRUE(),TEXT(H108+_xlfn.SEQUENCE(HOUR(I108-H108),1,0,1)/24,"hh:mm:ss") &amp; "-" &amp; TEXT(H108+_xlfn.SEQUENCE(HOUR(I108-H108),1,1,1)/24,"hh:mm:ss"))</f>
        <v>10:00:00-11:00:00, 11:00:00-12:00:00, 12:00:00-13:00:00</v>
      </c>
      <c r="M108" s="1" t="str">
        <f aca="false">IF(F108="","Não alocada","Alocada")</f>
        <v>Alocada</v>
      </c>
      <c r="N108" s="17" t="s">
        <v>23</v>
      </c>
      <c r="O108" s="17" t="s">
        <v>24</v>
      </c>
    </row>
    <row r="109" customFormat="false" ht="15" hidden="false" customHeight="false" outlineLevel="0" collapsed="false">
      <c r="A109" s="18" t="s">
        <v>221</v>
      </c>
      <c r="B109" s="26" t="s">
        <v>243</v>
      </c>
      <c r="C109" s="26" t="s">
        <v>244</v>
      </c>
      <c r="D109" s="19" t="s">
        <v>19</v>
      </c>
      <c r="E109" s="26" t="s">
        <v>245</v>
      </c>
      <c r="F109" s="4" t="s">
        <v>242</v>
      </c>
      <c r="G109" s="20" t="s">
        <v>45</v>
      </c>
      <c r="H109" s="27" t="n">
        <v>0.375</v>
      </c>
      <c r="I109" s="27" t="n">
        <v>0.5</v>
      </c>
      <c r="J109" s="22" t="n">
        <v>28</v>
      </c>
      <c r="K109" s="19" t="s">
        <v>45</v>
      </c>
      <c r="L109" s="23" t="str">
        <f aca="false" t="array" ref="L109:L109">_xlfn.TEXTJOIN(", ",TRUE(),TEXT(H109+_xlfn.SEQUENCE(HOUR(I109-H109),1,0,1)/24,"hh:mm:ss") &amp; "-" &amp; TEXT(H109+_xlfn.SEQUENCE(HOUR(I109-H109),1,1,1)/24,"hh:mm:ss"))</f>
        <v>09:00:00-10:00:00, 10:00:00-11:00:00, 11:00:00-12:00:00</v>
      </c>
      <c r="M109" s="1" t="str">
        <f aca="false">IF(F109="","Não alocada","Alocada")</f>
        <v>Alocada</v>
      </c>
      <c r="N109" s="17" t="s">
        <v>23</v>
      </c>
      <c r="O109" s="17" t="s">
        <v>24</v>
      </c>
    </row>
    <row r="110" customFormat="false" ht="15" hidden="false" customHeight="false" outlineLevel="0" collapsed="false">
      <c r="A110" s="28" t="s">
        <v>69</v>
      </c>
      <c r="B110" s="26" t="s">
        <v>239</v>
      </c>
      <c r="C110" s="26" t="s">
        <v>246</v>
      </c>
      <c r="D110" s="19" t="s">
        <v>247</v>
      </c>
      <c r="E110" s="26"/>
      <c r="F110" s="4" t="s">
        <v>242</v>
      </c>
      <c r="G110" s="20" t="s">
        <v>56</v>
      </c>
      <c r="H110" s="27" t="n">
        <v>0.541666666666667</v>
      </c>
      <c r="I110" s="27" t="n">
        <v>0.666666666666667</v>
      </c>
      <c r="J110" s="22" t="n">
        <v>30</v>
      </c>
      <c r="K110" s="29"/>
      <c r="L110" s="23" t="str">
        <f aca="false" t="array" ref="L110:L110">_xlfn.TEXTJOIN(", ",TRUE(),TEXT(H110+_xlfn.SEQUENCE(HOUR(I110-H110),1,0,1)/24,"hh:mm:ss") &amp; "-" &amp; TEXT(H110+_xlfn.SEQUENCE(HOUR(I110-H110),1,1,1)/24,"hh:mm:ss"))</f>
        <v>13:00:00-14:00:00, 14:00:00-15:00:00, 15:00:00-16:00:00</v>
      </c>
      <c r="M110" s="1" t="str">
        <f aca="false">IF(F110="","Não alocada","Alocada")</f>
        <v>Alocada</v>
      </c>
      <c r="N110" s="17" t="s">
        <v>23</v>
      </c>
      <c r="O110" s="17" t="s">
        <v>24</v>
      </c>
    </row>
    <row r="111" customFormat="false" ht="15" hidden="false" customHeight="false" outlineLevel="0" collapsed="false">
      <c r="A111" s="28" t="s">
        <v>69</v>
      </c>
      <c r="B111" s="26" t="s">
        <v>248</v>
      </c>
      <c r="C111" s="26" t="s">
        <v>249</v>
      </c>
      <c r="D111" s="19" t="s">
        <v>60</v>
      </c>
      <c r="E111" s="26" t="s">
        <v>250</v>
      </c>
      <c r="F111" s="4" t="s">
        <v>242</v>
      </c>
      <c r="G111" s="20" t="s">
        <v>117</v>
      </c>
      <c r="H111" s="27" t="n">
        <v>0.666666666666667</v>
      </c>
      <c r="I111" s="27" t="n">
        <v>0.75</v>
      </c>
      <c r="J111" s="22" t="n">
        <v>15</v>
      </c>
      <c r="K111" s="29"/>
      <c r="L111" s="23" t="str">
        <f aca="false" t="array" ref="L111:L111">_xlfn.TEXTJOIN(", ",TRUE(),TEXT(H111+_xlfn.SEQUENCE(HOUR(I111-H111),1,0,1)/24,"hh:mm:ss") &amp; "-" &amp; TEXT(H111+_xlfn.SEQUENCE(HOUR(I111-H111),1,1,1)/24,"hh:mm:ss"))</f>
        <v>16:00:00-17:00:00, 17:00:00-18:00:00</v>
      </c>
      <c r="M111" s="1" t="str">
        <f aca="false">IF(F111="","Não alocada","Alocada")</f>
        <v>Alocada</v>
      </c>
      <c r="N111" s="17" t="s">
        <v>23</v>
      </c>
      <c r="O111" s="17" t="s">
        <v>24</v>
      </c>
    </row>
    <row r="112" customFormat="false" ht="15" hidden="false" customHeight="false" outlineLevel="0" collapsed="false">
      <c r="A112" s="28" t="s">
        <v>69</v>
      </c>
      <c r="B112" s="26" t="s">
        <v>251</v>
      </c>
      <c r="C112" s="26" t="s">
        <v>252</v>
      </c>
      <c r="D112" s="19" t="s">
        <v>19</v>
      </c>
      <c r="E112" s="26" t="s">
        <v>253</v>
      </c>
      <c r="F112" s="4" t="s">
        <v>242</v>
      </c>
      <c r="G112" s="20" t="s">
        <v>213</v>
      </c>
      <c r="H112" s="27" t="n">
        <v>0.416666666666667</v>
      </c>
      <c r="I112" s="27" t="n">
        <v>0.5</v>
      </c>
      <c r="J112" s="22" t="n">
        <v>18</v>
      </c>
      <c r="K112" s="29"/>
      <c r="L112" s="23" t="str">
        <f aca="false" t="array" ref="L112:L112">_xlfn.TEXTJOIN(", ",TRUE(),TEXT(H112+_xlfn.SEQUENCE(HOUR(I112-H112),1,0,1)/24,"hh:mm:ss") &amp; "-" &amp; TEXT(H112+_xlfn.SEQUENCE(HOUR(I112-H112),1,1,1)/24,"hh:mm:ss"))</f>
        <v>10:00:00-11:00:00, 11:00:00-12:00:00</v>
      </c>
      <c r="M112" s="1" t="str">
        <f aca="false">IF(F112="","Não alocada","Alocada")</f>
        <v>Alocada</v>
      </c>
      <c r="N112" s="17" t="s">
        <v>23</v>
      </c>
      <c r="O112" s="17" t="s">
        <v>24</v>
      </c>
    </row>
    <row r="113" customFormat="false" ht="15" hidden="false" customHeight="false" outlineLevel="0" collapsed="false">
      <c r="A113" s="28" t="s">
        <v>69</v>
      </c>
      <c r="B113" s="26" t="s">
        <v>248</v>
      </c>
      <c r="C113" s="26" t="s">
        <v>249</v>
      </c>
      <c r="D113" s="19" t="s">
        <v>32</v>
      </c>
      <c r="E113" s="26" t="s">
        <v>250</v>
      </c>
      <c r="F113" s="4" t="s">
        <v>242</v>
      </c>
      <c r="G113" s="20" t="s">
        <v>34</v>
      </c>
      <c r="H113" s="27" t="n">
        <v>0.333333333333333</v>
      </c>
      <c r="I113" s="27" t="n">
        <v>0.416666666666667</v>
      </c>
      <c r="J113" s="22" t="n">
        <v>15</v>
      </c>
      <c r="K113" s="29"/>
      <c r="L113" s="23" t="str">
        <f aca="false" t="array" ref="L113:L113">_xlfn.TEXTJOIN(", ",TRUE(),TEXT(H113+_xlfn.SEQUENCE(HOUR(I113-H113),1,0,1)/24,"hh:mm:ss") &amp; "-" &amp; TEXT(H113+_xlfn.SEQUENCE(HOUR(I113-H113),1,1,1)/24,"hh:mm:ss"))</f>
        <v>08:00:00-09:00:00, 09:00:00-10:00:00</v>
      </c>
      <c r="M113" s="1" t="str">
        <f aca="false">IF(F113="","Não alocada","Alocada")</f>
        <v>Alocada</v>
      </c>
      <c r="N113" s="17" t="s">
        <v>23</v>
      </c>
      <c r="O113" s="17" t="s">
        <v>24</v>
      </c>
    </row>
    <row r="114" customFormat="false" ht="15" hidden="false" customHeight="false" outlineLevel="0" collapsed="false">
      <c r="A114" s="18" t="s">
        <v>82</v>
      </c>
      <c r="B114" s="26" t="s">
        <v>239</v>
      </c>
      <c r="C114" s="26" t="s">
        <v>254</v>
      </c>
      <c r="D114" s="19" t="s">
        <v>255</v>
      </c>
      <c r="E114" s="26" t="s">
        <v>256</v>
      </c>
      <c r="F114" s="4" t="s">
        <v>242</v>
      </c>
      <c r="G114" s="20" t="s">
        <v>56</v>
      </c>
      <c r="H114" s="27" t="n">
        <v>0.541666666666667</v>
      </c>
      <c r="I114" s="27" t="n">
        <v>0.666666666666667</v>
      </c>
      <c r="J114" s="22" t="n">
        <v>30</v>
      </c>
      <c r="K114" s="29"/>
      <c r="L114" s="23" t="str">
        <f aca="false" t="array" ref="L114:L114">_xlfn.TEXTJOIN(", ",TRUE(),TEXT(H114+_xlfn.SEQUENCE(HOUR(I114-H114),1,0,1)/24,"hh:mm:ss") &amp; "-" &amp; TEXT(H114+_xlfn.SEQUENCE(HOUR(I114-H114),1,1,1)/24,"hh:mm:ss"))</f>
        <v>13:00:00-14:00:00, 14:00:00-15:00:00, 15:00:00-16:00:00</v>
      </c>
      <c r="M114" s="1" t="str">
        <f aca="false">IF(F114="","Não alocada","Alocada")</f>
        <v>Alocada</v>
      </c>
      <c r="N114" s="17" t="s">
        <v>23</v>
      </c>
      <c r="O114" s="17" t="s">
        <v>24</v>
      </c>
    </row>
    <row r="115" customFormat="false" ht="15" hidden="false" customHeight="false" outlineLevel="0" collapsed="false">
      <c r="A115" s="18" t="s">
        <v>82</v>
      </c>
      <c r="B115" s="26" t="s">
        <v>239</v>
      </c>
      <c r="C115" s="26" t="s">
        <v>254</v>
      </c>
      <c r="D115" s="19" t="s">
        <v>228</v>
      </c>
      <c r="E115" s="26" t="s">
        <v>79</v>
      </c>
      <c r="F115" s="4" t="s">
        <v>242</v>
      </c>
      <c r="G115" s="20" t="s">
        <v>22</v>
      </c>
      <c r="H115" s="27" t="n">
        <v>0.416666666666667</v>
      </c>
      <c r="I115" s="27" t="n">
        <v>0.541666666666667</v>
      </c>
      <c r="J115" s="22" t="n">
        <v>30</v>
      </c>
      <c r="K115" s="29"/>
      <c r="L115" s="23" t="str">
        <f aca="false" t="array" ref="L115:L115">_xlfn.TEXTJOIN(", ",TRUE(),TEXT(H115+_xlfn.SEQUENCE(HOUR(I115-H115),1,0,1)/24,"hh:mm:ss") &amp; "-" &amp; TEXT(H115+_xlfn.SEQUENCE(HOUR(I115-H115),1,1,1)/24,"hh:mm:ss"))</f>
        <v>10:00:00-11:00:00, 11:00:00-12:00:00, 12:00:00-13:00:00</v>
      </c>
      <c r="M115" s="1" t="str">
        <f aca="false">IF(F115="","Não alocada","Alocada")</f>
        <v>Alocada</v>
      </c>
      <c r="N115" s="17" t="s">
        <v>23</v>
      </c>
      <c r="O115" s="17" t="s">
        <v>24</v>
      </c>
    </row>
    <row r="116" customFormat="false" ht="15" hidden="false" customHeight="false" outlineLevel="0" collapsed="false">
      <c r="A116" s="18" t="s">
        <v>90</v>
      </c>
      <c r="B116" s="31" t="s">
        <v>239</v>
      </c>
      <c r="C116" s="31" t="s">
        <v>254</v>
      </c>
      <c r="D116" s="19" t="s">
        <v>73</v>
      </c>
      <c r="E116" s="26"/>
      <c r="F116" s="4" t="s">
        <v>242</v>
      </c>
      <c r="G116" s="20" t="s">
        <v>257</v>
      </c>
      <c r="H116" s="27" t="n">
        <v>0.333333333333333</v>
      </c>
      <c r="I116" s="27" t="n">
        <v>0.458333333333333</v>
      </c>
      <c r="J116" s="22" t="n">
        <v>30</v>
      </c>
      <c r="K116" s="29"/>
      <c r="L116" s="23" t="str">
        <f aca="false" t="array" ref="L116:L116">_xlfn.TEXTJOIN(", ",TRUE(),TEXT(H116+_xlfn.SEQUENCE(HOUR(I116-H116),1,0,1)/24,"hh:mm:ss") &amp; "-" &amp; TEXT(H116+_xlfn.SEQUENCE(HOUR(I116-H116),1,1,1)/24,"hh:mm:ss"))</f>
        <v>08:00:00-09:00:00, 09:00:00-10:00:00, 10:00:00-11:00:00</v>
      </c>
      <c r="M116" s="1" t="str">
        <f aca="false">IF(F116="","Não alocada","Alocada")</f>
        <v>Alocada</v>
      </c>
      <c r="N116" s="17" t="s">
        <v>23</v>
      </c>
      <c r="O116" s="17" t="s">
        <v>24</v>
      </c>
    </row>
    <row r="117" customFormat="false" ht="15" hidden="false" customHeight="false" outlineLevel="0" collapsed="false">
      <c r="A117" s="18" t="s">
        <v>90</v>
      </c>
      <c r="B117" s="31" t="s">
        <v>258</v>
      </c>
      <c r="C117" s="31" t="s">
        <v>259</v>
      </c>
      <c r="D117" s="19" t="s">
        <v>27</v>
      </c>
      <c r="E117" s="31" t="s">
        <v>260</v>
      </c>
      <c r="F117" s="4" t="s">
        <v>242</v>
      </c>
      <c r="G117" s="20" t="s">
        <v>29</v>
      </c>
      <c r="H117" s="27" t="n">
        <v>0.333333333333333</v>
      </c>
      <c r="I117" s="27" t="n">
        <v>0.416666666666667</v>
      </c>
      <c r="J117" s="22" t="n">
        <v>0</v>
      </c>
      <c r="K117" s="29"/>
      <c r="L117" s="23" t="str">
        <f aca="false" t="array" ref="L117:L117">_xlfn.TEXTJOIN(", ",TRUE(),TEXT(H117+_xlfn.SEQUENCE(HOUR(I117-H117),1,0,1)/24,"hh:mm:ss") &amp; "-" &amp; TEXT(H117+_xlfn.SEQUENCE(HOUR(I117-H117),1,1,1)/24,"hh:mm:ss"))</f>
        <v>08:00:00-09:00:00, 09:00:00-10:00:00</v>
      </c>
      <c r="M117" s="1" t="str">
        <f aca="false">IF(F117="","Não alocada","Alocada")</f>
        <v>Alocada</v>
      </c>
      <c r="N117" s="17" t="s">
        <v>23</v>
      </c>
      <c r="O117" s="17" t="s">
        <v>24</v>
      </c>
    </row>
    <row r="118" customFormat="false" ht="15" hidden="false" customHeight="false" outlineLevel="0" collapsed="false">
      <c r="A118" s="18" t="s">
        <v>90</v>
      </c>
      <c r="B118" s="31" t="s">
        <v>258</v>
      </c>
      <c r="C118" s="31" t="s">
        <v>259</v>
      </c>
      <c r="D118" s="19" t="s">
        <v>60</v>
      </c>
      <c r="E118" s="31" t="s">
        <v>261</v>
      </c>
      <c r="F118" s="4" t="s">
        <v>242</v>
      </c>
      <c r="G118" s="20" t="s">
        <v>29</v>
      </c>
      <c r="H118" s="27" t="n">
        <v>1.33333333333333</v>
      </c>
      <c r="I118" s="27" t="n">
        <v>1.41666666666667</v>
      </c>
      <c r="J118" s="22" t="n">
        <v>0</v>
      </c>
      <c r="K118" s="29"/>
      <c r="L118" s="23" t="str">
        <f aca="false" t="array" ref="L118:L118">_xlfn.TEXTJOIN(", ",TRUE(),TEXT(H118+_xlfn.SEQUENCE(HOUR(I118-H118),1,0,1)/24,"hh:mm:ss") &amp; "-" &amp; TEXT(H118+_xlfn.SEQUENCE(HOUR(I118-H118),1,1,1)/24,"hh:mm:ss"))</f>
        <v>08:00:00-09:00:00, 09:00:00-10:00:00</v>
      </c>
      <c r="M118" s="1" t="str">
        <f aca="false">IF(F118="","Não alocada","Alocada")</f>
        <v>Alocada</v>
      </c>
      <c r="N118" s="17" t="s">
        <v>23</v>
      </c>
      <c r="O118" s="17" t="s">
        <v>24</v>
      </c>
    </row>
    <row r="119" customFormat="false" ht="15" hidden="false" customHeight="false" outlineLevel="0" collapsed="false">
      <c r="A119" s="18" t="s">
        <v>90</v>
      </c>
      <c r="B119" s="31" t="s">
        <v>262</v>
      </c>
      <c r="C119" s="31" t="s">
        <v>263</v>
      </c>
      <c r="D119" s="19" t="s">
        <v>27</v>
      </c>
      <c r="E119" s="31" t="s">
        <v>264</v>
      </c>
      <c r="F119" s="4" t="s">
        <v>242</v>
      </c>
      <c r="G119" s="20" t="s">
        <v>29</v>
      </c>
      <c r="H119" s="27" t="n">
        <v>0.416666666666667</v>
      </c>
      <c r="I119" s="27" t="n">
        <v>0.5</v>
      </c>
      <c r="J119" s="22" t="n">
        <v>7</v>
      </c>
      <c r="K119" s="29"/>
      <c r="L119" s="23" t="str">
        <f aca="false" t="array" ref="L119:L119">_xlfn.TEXTJOIN(", ",TRUE(),TEXT(H119+_xlfn.SEQUENCE(HOUR(I119-H119),1,0,1)/24,"hh:mm:ss") &amp; "-" &amp; TEXT(H119+_xlfn.SEQUENCE(HOUR(I119-H119),1,1,1)/24,"hh:mm:ss"))</f>
        <v>10:00:00-11:00:00, 11:00:00-12:00:00</v>
      </c>
      <c r="M119" s="1" t="str">
        <f aca="false">IF(F119="","Não alocada","Alocada")</f>
        <v>Alocada</v>
      </c>
      <c r="N119" s="17" t="s">
        <v>23</v>
      </c>
      <c r="O119" s="17" t="s">
        <v>24</v>
      </c>
    </row>
    <row r="120" customFormat="false" ht="15" hidden="false" customHeight="false" outlineLevel="0" collapsed="false">
      <c r="A120" s="18" t="s">
        <v>90</v>
      </c>
      <c r="B120" s="31" t="s">
        <v>262</v>
      </c>
      <c r="C120" s="31" t="s">
        <v>263</v>
      </c>
      <c r="D120" s="19" t="s">
        <v>60</v>
      </c>
      <c r="E120" s="31" t="s">
        <v>265</v>
      </c>
      <c r="F120" s="4" t="s">
        <v>242</v>
      </c>
      <c r="G120" s="20" t="s">
        <v>29</v>
      </c>
      <c r="H120" s="27" t="n">
        <v>1.41666666666667</v>
      </c>
      <c r="I120" s="27" t="n">
        <v>1.5</v>
      </c>
      <c r="J120" s="22" t="n">
        <v>7</v>
      </c>
      <c r="K120" s="29"/>
      <c r="L120" s="23" t="str">
        <f aca="false" t="array" ref="L120:L120">_xlfn.TEXTJOIN(", ",TRUE(),TEXT(H120+_xlfn.SEQUENCE(HOUR(I120-H120),1,0,1)/24,"hh:mm:ss") &amp; "-" &amp; TEXT(H120+_xlfn.SEQUENCE(HOUR(I120-H120),1,1,1)/24,"hh:mm:ss"))</f>
        <v>10:00:00-11:00:00, 11:00:00-12:00:00</v>
      </c>
      <c r="M120" s="1" t="str">
        <f aca="false">IF(F120="","Não alocada","Alocada")</f>
        <v>Alocada</v>
      </c>
      <c r="N120" s="17" t="s">
        <v>23</v>
      </c>
      <c r="O120" s="17" t="s">
        <v>24</v>
      </c>
    </row>
    <row r="121" customFormat="false" ht="15" hidden="false" customHeight="false" outlineLevel="0" collapsed="false">
      <c r="A121" s="18" t="s">
        <v>35</v>
      </c>
      <c r="B121" s="24" t="s">
        <v>266</v>
      </c>
      <c r="C121" s="24" t="s">
        <v>267</v>
      </c>
      <c r="D121" s="19" t="s">
        <v>27</v>
      </c>
      <c r="E121" s="24" t="s">
        <v>112</v>
      </c>
      <c r="F121" s="4" t="s">
        <v>268</v>
      </c>
      <c r="G121" s="35" t="s">
        <v>56</v>
      </c>
      <c r="H121" s="46" t="n">
        <v>0.416666666666667</v>
      </c>
      <c r="I121" s="46" t="n">
        <v>0.5</v>
      </c>
      <c r="J121" s="22" t="n">
        <v>72</v>
      </c>
      <c r="K121" s="37" t="s">
        <v>56</v>
      </c>
      <c r="L121" s="23" t="str">
        <f aca="false" t="array" ref="L121:L121">_xlfn.TEXTJOIN(", ",TRUE(),TEXT(H121+_xlfn.SEQUENCE(HOUR(I121-H121),1,0,1)/24,"hh:mm:ss") &amp; "-" &amp; TEXT(H121+_xlfn.SEQUENCE(HOUR(I121-H121),1,1,1)/24,"hh:mm:ss"))</f>
        <v>10:00:00-11:00:00, 11:00:00-12:00:00</v>
      </c>
      <c r="M121" s="1" t="str">
        <f aca="false">IF(F121="","Não alocada","Alocada")</f>
        <v>Alocada</v>
      </c>
      <c r="N121" s="17" t="s">
        <v>23</v>
      </c>
      <c r="O121" s="17" t="s">
        <v>24</v>
      </c>
    </row>
    <row r="122" customFormat="false" ht="15" hidden="false" customHeight="false" outlineLevel="0" collapsed="false">
      <c r="A122" s="18" t="s">
        <v>35</v>
      </c>
      <c r="B122" s="24" t="s">
        <v>266</v>
      </c>
      <c r="C122" s="24" t="s">
        <v>267</v>
      </c>
      <c r="D122" s="19" t="s">
        <v>27</v>
      </c>
      <c r="E122" s="24" t="s">
        <v>112</v>
      </c>
      <c r="F122" s="4" t="s">
        <v>268</v>
      </c>
      <c r="G122" s="35" t="s">
        <v>66</v>
      </c>
      <c r="H122" s="46" t="n">
        <v>0.333333333333333</v>
      </c>
      <c r="I122" s="46" t="n">
        <v>0.416666666666667</v>
      </c>
      <c r="J122" s="22" t="n">
        <v>72</v>
      </c>
      <c r="K122" s="37" t="s">
        <v>66</v>
      </c>
      <c r="L122" s="23" t="str">
        <f aca="false" t="array" ref="L122:L122">_xlfn.TEXTJOIN(", ",TRUE(),TEXT(H122+_xlfn.SEQUENCE(HOUR(I122-H122),1,0,1)/24,"hh:mm:ss") &amp; "-" &amp; TEXT(H122+_xlfn.SEQUENCE(HOUR(I122-H122),1,1,1)/24,"hh:mm:ss"))</f>
        <v>08:00:00-09:00:00, 09:00:00-10:00:00</v>
      </c>
      <c r="M122" s="1" t="str">
        <f aca="false">IF(F122="","Não alocada","Alocada")</f>
        <v>Alocada</v>
      </c>
      <c r="N122" s="17" t="s">
        <v>23</v>
      </c>
      <c r="O122" s="17" t="s">
        <v>24</v>
      </c>
    </row>
    <row r="123" customFormat="false" ht="15" hidden="false" customHeight="false" outlineLevel="0" collapsed="false">
      <c r="A123" s="18" t="s">
        <v>83</v>
      </c>
      <c r="B123" s="26" t="s">
        <v>269</v>
      </c>
      <c r="C123" s="26" t="s">
        <v>270</v>
      </c>
      <c r="D123" s="19" t="s">
        <v>76</v>
      </c>
      <c r="E123" s="26" t="s">
        <v>271</v>
      </c>
      <c r="F123" s="4" t="s">
        <v>268</v>
      </c>
      <c r="G123" s="20" t="s">
        <v>29</v>
      </c>
      <c r="H123" s="27" t="n">
        <v>0.833333333333333</v>
      </c>
      <c r="I123" s="27" t="n">
        <v>0.916666666666667</v>
      </c>
      <c r="J123" s="22" t="n">
        <v>34</v>
      </c>
      <c r="K123" s="29"/>
      <c r="L123" s="23" t="str">
        <f aca="false" t="array" ref="L123:L123">_xlfn.TEXTJOIN(", ",TRUE(),TEXT(H123+_xlfn.SEQUENCE(HOUR(I123-H123),1,0,1)/24,"hh:mm:ss") &amp; "-" &amp; TEXT(H123+_xlfn.SEQUENCE(HOUR(I123-H123),1,1,1)/24,"hh:mm:ss"))</f>
        <v>20:00:00-21:00:00, 21:00:00-22:00:00</v>
      </c>
      <c r="M123" s="1" t="str">
        <f aca="false">IF(F123="","Não alocada","Alocada")</f>
        <v>Alocada</v>
      </c>
      <c r="N123" s="17" t="s">
        <v>23</v>
      </c>
      <c r="O123" s="17" t="s">
        <v>24</v>
      </c>
    </row>
    <row r="124" customFormat="false" ht="15" hidden="false" customHeight="false" outlineLevel="0" collapsed="false">
      <c r="A124" s="18" t="s">
        <v>35</v>
      </c>
      <c r="B124" s="24" t="s">
        <v>272</v>
      </c>
      <c r="C124" s="24" t="s">
        <v>273</v>
      </c>
      <c r="D124" s="19" t="s">
        <v>60</v>
      </c>
      <c r="E124" s="24" t="s">
        <v>104</v>
      </c>
      <c r="F124" s="4" t="s">
        <v>274</v>
      </c>
      <c r="G124" s="20" t="s">
        <v>29</v>
      </c>
      <c r="H124" s="25" t="n">
        <v>0.333333333333333</v>
      </c>
      <c r="I124" s="25" t="n">
        <v>0.416666666666667</v>
      </c>
      <c r="J124" s="22" t="n">
        <v>37</v>
      </c>
      <c r="K124" s="19" t="s">
        <v>29</v>
      </c>
      <c r="L124" s="23" t="str">
        <f aca="false" t="array" ref="L124:L124">_xlfn.TEXTJOIN(", ",TRUE(),TEXT(H124+_xlfn.SEQUENCE(HOUR(I124-H124),1,0,1)/24,"hh:mm:ss") &amp; "-" &amp; TEXT(H124+_xlfn.SEQUENCE(HOUR(I124-H124),1,1,1)/24,"hh:mm:ss"))</f>
        <v>08:00:00-09:00:00, 09:00:00-10:00:00</v>
      </c>
      <c r="M124" s="1" t="str">
        <f aca="false">IF(F124="","Não alocada","Alocada")</f>
        <v>Alocada</v>
      </c>
      <c r="N124" s="17" t="s">
        <v>23</v>
      </c>
      <c r="O124" s="17" t="s">
        <v>24</v>
      </c>
    </row>
    <row r="125" customFormat="false" ht="15" hidden="false" customHeight="false" outlineLevel="0" collapsed="false">
      <c r="A125" s="18" t="s">
        <v>77</v>
      </c>
      <c r="B125" s="26" t="s">
        <v>272</v>
      </c>
      <c r="C125" s="26" t="s">
        <v>273</v>
      </c>
      <c r="D125" s="19" t="s">
        <v>275</v>
      </c>
      <c r="E125" s="26" t="s">
        <v>42</v>
      </c>
      <c r="F125" s="4" t="s">
        <v>274</v>
      </c>
      <c r="G125" s="20" t="s">
        <v>29</v>
      </c>
      <c r="H125" s="27" t="n">
        <v>0.333333333333333</v>
      </c>
      <c r="I125" s="27" t="n">
        <v>0.416666666666667</v>
      </c>
      <c r="J125" s="22" t="n">
        <v>37</v>
      </c>
      <c r="K125" s="26" t="s">
        <v>80</v>
      </c>
      <c r="L125" s="23" t="str">
        <f aca="false" t="array" ref="L125:L125">_xlfn.TEXTJOIN(", ",TRUE(),TEXT(H125+_xlfn.SEQUENCE(HOUR(I125-H125),1,0,1)/24,"hh:mm:ss") &amp; "-" &amp; TEXT(H125+_xlfn.SEQUENCE(HOUR(I125-H125),1,1,1)/24,"hh:mm:ss"))</f>
        <v>08:00:00-09:00:00, 09:00:00-10:00:00</v>
      </c>
      <c r="M125" s="1" t="str">
        <f aca="false">IF(F125="","Não alocada","Alocada")</f>
        <v>Alocada</v>
      </c>
      <c r="N125" s="17" t="s">
        <v>23</v>
      </c>
      <c r="O125" s="17" t="s">
        <v>24</v>
      </c>
    </row>
    <row r="126" customFormat="false" ht="15" hidden="false" customHeight="false" outlineLevel="0" collapsed="false">
      <c r="A126" s="18" t="s">
        <v>77</v>
      </c>
      <c r="B126" s="26" t="s">
        <v>276</v>
      </c>
      <c r="C126" s="26" t="s">
        <v>277</v>
      </c>
      <c r="D126" s="19" t="s">
        <v>19</v>
      </c>
      <c r="E126" s="26" t="s">
        <v>79</v>
      </c>
      <c r="F126" s="4" t="s">
        <v>274</v>
      </c>
      <c r="G126" s="20" t="s">
        <v>29</v>
      </c>
      <c r="H126" s="27" t="n">
        <v>0.583333333333333</v>
      </c>
      <c r="I126" s="27" t="n">
        <v>0.666666666666667</v>
      </c>
      <c r="J126" s="22" t="n">
        <v>10</v>
      </c>
      <c r="K126" s="26" t="s">
        <v>278</v>
      </c>
      <c r="L126" s="23" t="str">
        <f aca="false" t="array" ref="L126:L126">_xlfn.TEXTJOIN(", ",TRUE(),TEXT(H126+_xlfn.SEQUENCE(HOUR(I126-H126),1,0,1)/24,"hh:mm:ss") &amp; "-" &amp; TEXT(H126+_xlfn.SEQUENCE(HOUR(I126-H126),1,1,1)/24,"hh:mm:ss"))</f>
        <v>14:00:00-15:00:00, 15:00:00-16:00:00</v>
      </c>
      <c r="M126" s="1" t="str">
        <f aca="false">IF(F126="","Não alocada","Alocada")</f>
        <v>Alocada</v>
      </c>
      <c r="N126" s="17" t="s">
        <v>23</v>
      </c>
      <c r="O126" s="17" t="s">
        <v>24</v>
      </c>
    </row>
    <row r="127" customFormat="false" ht="15" hidden="false" customHeight="false" outlineLevel="0" collapsed="false">
      <c r="A127" s="18" t="s">
        <v>83</v>
      </c>
      <c r="B127" s="26" t="s">
        <v>279</v>
      </c>
      <c r="C127" s="26" t="s">
        <v>280</v>
      </c>
      <c r="D127" s="19" t="s">
        <v>76</v>
      </c>
      <c r="E127" s="26"/>
      <c r="F127" s="4" t="s">
        <v>274</v>
      </c>
      <c r="G127" s="20" t="s">
        <v>22</v>
      </c>
      <c r="H127" s="27" t="n">
        <v>0.75</v>
      </c>
      <c r="I127" s="27" t="n">
        <v>0.833333333333333</v>
      </c>
      <c r="J127" s="22" t="n">
        <v>11</v>
      </c>
      <c r="K127" s="29"/>
      <c r="L127" s="23" t="str">
        <f aca="false" t="array" ref="L127:L127">_xlfn.TEXTJOIN(", ",TRUE(),TEXT(H127+_xlfn.SEQUENCE(HOUR(I127-H127),1,0,1)/24,"hh:mm:ss") &amp; "-" &amp; TEXT(H127+_xlfn.SEQUENCE(HOUR(I127-H127),1,1,1)/24,"hh:mm:ss"))</f>
        <v>18:00:00-19:00:00, 19:00:00-20:00:00</v>
      </c>
      <c r="M127" s="1" t="str">
        <f aca="false">IF(F127="","Não alocada","Alocada")</f>
        <v>Alocada</v>
      </c>
      <c r="N127" s="17" t="s">
        <v>23</v>
      </c>
      <c r="O127" s="17" t="s">
        <v>24</v>
      </c>
    </row>
    <row r="128" customFormat="false" ht="15" hidden="false" customHeight="false" outlineLevel="0" collapsed="false">
      <c r="A128" s="18" t="s">
        <v>83</v>
      </c>
      <c r="B128" s="26" t="s">
        <v>272</v>
      </c>
      <c r="C128" s="26" t="s">
        <v>281</v>
      </c>
      <c r="D128" s="19" t="s">
        <v>76</v>
      </c>
      <c r="E128" s="26"/>
      <c r="F128" s="4" t="s">
        <v>274</v>
      </c>
      <c r="G128" s="20" t="s">
        <v>34</v>
      </c>
      <c r="H128" s="27" t="n">
        <v>0.583333333333333</v>
      </c>
      <c r="I128" s="27" t="n">
        <v>0.666666666666667</v>
      </c>
      <c r="J128" s="22" t="n">
        <v>37</v>
      </c>
      <c r="K128" s="29"/>
      <c r="L128" s="23" t="str">
        <f aca="false" t="array" ref="L128:L128">_xlfn.TEXTJOIN(", ",TRUE(),TEXT(H128+_xlfn.SEQUENCE(HOUR(I128-H128),1,0,1)/24,"hh:mm:ss") &amp; "-" &amp; TEXT(H128+_xlfn.SEQUENCE(HOUR(I128-H128),1,1,1)/24,"hh:mm:ss"))</f>
        <v>14:00:00-15:00:00, 15:00:00-16:00:00</v>
      </c>
      <c r="M128" s="1" t="str">
        <f aca="false">IF(F128="","Não alocada","Alocada")</f>
        <v>Alocada</v>
      </c>
      <c r="N128" s="17" t="s">
        <v>23</v>
      </c>
      <c r="O128" s="17" t="s">
        <v>24</v>
      </c>
    </row>
    <row r="129" customFormat="false" ht="15" hidden="false" customHeight="false" outlineLevel="0" collapsed="false">
      <c r="A129" s="18" t="s">
        <v>90</v>
      </c>
      <c r="B129" s="31" t="s">
        <v>276</v>
      </c>
      <c r="C129" s="31" t="s">
        <v>282</v>
      </c>
      <c r="D129" s="19" t="s">
        <v>19</v>
      </c>
      <c r="E129" s="26"/>
      <c r="F129" s="4" t="s">
        <v>274</v>
      </c>
      <c r="G129" s="20" t="s">
        <v>29</v>
      </c>
      <c r="H129" s="27" t="n">
        <v>0.583333333333333</v>
      </c>
      <c r="I129" s="27" t="n">
        <v>0.666666666666667</v>
      </c>
      <c r="J129" s="22" t="n">
        <v>10</v>
      </c>
      <c r="K129" s="29"/>
      <c r="L129" s="23" t="str">
        <f aca="false" t="array" ref="L129:L129">_xlfn.TEXTJOIN(", ",TRUE(),TEXT(H129+_xlfn.SEQUENCE(HOUR(I129-H129),1,0,1)/24,"hh:mm:ss") &amp; "-" &amp; TEXT(H129+_xlfn.SEQUENCE(HOUR(I129-H129),1,1,1)/24,"hh:mm:ss"))</f>
        <v>14:00:00-15:00:00, 15:00:00-16:00:00</v>
      </c>
      <c r="M129" s="1" t="str">
        <f aca="false">IF(F129="","Não alocada","Alocada")</f>
        <v>Alocada</v>
      </c>
      <c r="N129" s="17" t="s">
        <v>23</v>
      </c>
      <c r="O129" s="17" t="s">
        <v>24</v>
      </c>
    </row>
    <row r="130" customFormat="false" ht="15" hidden="false" customHeight="false" outlineLevel="0" collapsed="false">
      <c r="A130" s="18" t="s">
        <v>90</v>
      </c>
      <c r="B130" s="31" t="s">
        <v>283</v>
      </c>
      <c r="C130" s="31" t="s">
        <v>284</v>
      </c>
      <c r="D130" s="19" t="s">
        <v>60</v>
      </c>
      <c r="E130" s="31" t="s">
        <v>285</v>
      </c>
      <c r="F130" s="4" t="s">
        <v>274</v>
      </c>
      <c r="G130" s="20" t="s">
        <v>66</v>
      </c>
      <c r="H130" s="27" t="n">
        <v>1.41666666666667</v>
      </c>
      <c r="I130" s="27" t="n">
        <v>1.54166666666667</v>
      </c>
      <c r="J130" s="22" t="n">
        <v>20</v>
      </c>
      <c r="K130" s="29"/>
      <c r="L130" s="23" t="str">
        <f aca="false" t="array" ref="L130:L130">_xlfn.TEXTJOIN(", ",TRUE(),TEXT(H130+_xlfn.SEQUENCE(HOUR(I130-H130),1,0,1)/24,"hh:mm:ss") &amp; "-" &amp; TEXT(H130+_xlfn.SEQUENCE(HOUR(I130-H130),1,1,1)/24,"hh:mm:ss"))</f>
        <v>10:00:00-11:00:00, 11:00:00-12:00:00, 12:00:00-13:00:00</v>
      </c>
      <c r="M130" s="1" t="str">
        <f aca="false">IF(F130="","Não alocada","Alocada")</f>
        <v>Alocada</v>
      </c>
      <c r="N130" s="17" t="s">
        <v>23</v>
      </c>
      <c r="O130" s="17" t="s">
        <v>24</v>
      </c>
    </row>
    <row r="131" customFormat="false" ht="15" hidden="false" customHeight="false" outlineLevel="0" collapsed="false">
      <c r="A131" s="18" t="s">
        <v>90</v>
      </c>
      <c r="B131" s="31" t="s">
        <v>283</v>
      </c>
      <c r="C131" s="31" t="s">
        <v>284</v>
      </c>
      <c r="D131" s="19" t="s">
        <v>27</v>
      </c>
      <c r="E131" s="31" t="s">
        <v>285</v>
      </c>
      <c r="F131" s="4" t="s">
        <v>274</v>
      </c>
      <c r="G131" s="20" t="s">
        <v>45</v>
      </c>
      <c r="H131" s="27" t="n">
        <v>0.416666666666667</v>
      </c>
      <c r="I131" s="27" t="n">
        <v>0.541666666666667</v>
      </c>
      <c r="J131" s="22" t="n">
        <v>20</v>
      </c>
      <c r="K131" s="29"/>
      <c r="L131" s="23" t="str">
        <f aca="false" t="array" ref="L131:L131">_xlfn.TEXTJOIN(", ",TRUE(),TEXT(H131+_xlfn.SEQUENCE(HOUR(I131-H131),1,0,1)/24,"hh:mm:ss") &amp; "-" &amp; TEXT(H131+_xlfn.SEQUENCE(HOUR(I131-H131),1,1,1)/24,"hh:mm:ss"))</f>
        <v>10:00:00-11:00:00, 11:00:00-12:00:00, 12:00:00-13:00:00</v>
      </c>
      <c r="M131" s="1" t="str">
        <f aca="false">IF(F131="","Não alocada","Alocada")</f>
        <v>Alocada</v>
      </c>
      <c r="N131" s="17" t="s">
        <v>23</v>
      </c>
      <c r="O131" s="17" t="s">
        <v>24</v>
      </c>
    </row>
    <row r="132" customFormat="false" ht="15" hidden="false" customHeight="false" outlineLevel="0" collapsed="false">
      <c r="A132" s="18" t="s">
        <v>90</v>
      </c>
      <c r="B132" s="31" t="s">
        <v>286</v>
      </c>
      <c r="C132" s="31" t="s">
        <v>287</v>
      </c>
      <c r="D132" s="19" t="s">
        <v>27</v>
      </c>
      <c r="E132" s="31" t="s">
        <v>288</v>
      </c>
      <c r="F132" s="4" t="s">
        <v>274</v>
      </c>
      <c r="G132" s="20" t="s">
        <v>34</v>
      </c>
      <c r="H132" s="27" t="n">
        <v>0.333333333333333</v>
      </c>
      <c r="I132" s="27" t="n">
        <v>0.416666666666667</v>
      </c>
      <c r="J132" s="22" t="n">
        <v>15</v>
      </c>
      <c r="K132" s="29"/>
      <c r="L132" s="23" t="str">
        <f aca="false" t="array" ref="L132:L132">_xlfn.TEXTJOIN(", ",TRUE(),TEXT(H132+_xlfn.SEQUENCE(HOUR(I132-H132),1,0,1)/24,"hh:mm:ss") &amp; "-" &amp; TEXT(H132+_xlfn.SEQUENCE(HOUR(I132-H132),1,1,1)/24,"hh:mm:ss"))</f>
        <v>08:00:00-09:00:00, 09:00:00-10:00:00</v>
      </c>
      <c r="M132" s="1" t="str">
        <f aca="false">IF(F132="","Não alocada","Alocada")</f>
        <v>Alocada</v>
      </c>
      <c r="N132" s="17" t="s">
        <v>23</v>
      </c>
      <c r="O132" s="17" t="s">
        <v>24</v>
      </c>
    </row>
    <row r="133" customFormat="false" ht="15" hidden="false" customHeight="false" outlineLevel="0" collapsed="false">
      <c r="A133" s="18" t="s">
        <v>90</v>
      </c>
      <c r="B133" s="31" t="s">
        <v>286</v>
      </c>
      <c r="C133" s="31" t="s">
        <v>287</v>
      </c>
      <c r="D133" s="19" t="s">
        <v>60</v>
      </c>
      <c r="E133" s="31" t="s">
        <v>289</v>
      </c>
      <c r="F133" s="4" t="s">
        <v>274</v>
      </c>
      <c r="G133" s="20" t="s">
        <v>34</v>
      </c>
      <c r="H133" s="27" t="n">
        <v>0.583333333333333</v>
      </c>
      <c r="I133" s="27" t="n">
        <v>0.666666666666667</v>
      </c>
      <c r="J133" s="22" t="n">
        <v>15</v>
      </c>
      <c r="K133" s="29"/>
      <c r="L133" s="23" t="str">
        <f aca="false" t="array" ref="L133:L133">_xlfn.TEXTJOIN(", ",TRUE(),TEXT(H133+_xlfn.SEQUENCE(HOUR(I133-H133),1,0,1)/24,"hh:mm:ss") &amp; "-" &amp; TEXT(H133+_xlfn.SEQUENCE(HOUR(I133-H133),1,1,1)/24,"hh:mm:ss"))</f>
        <v>14:00:00-15:00:00, 15:00:00-16:00:00</v>
      </c>
      <c r="M133" s="1" t="str">
        <f aca="false">IF(F133="","Não alocada","Alocada")</f>
        <v>Alocada</v>
      </c>
      <c r="N133" s="17" t="s">
        <v>23</v>
      </c>
      <c r="O133" s="17" t="s">
        <v>24</v>
      </c>
    </row>
    <row r="134" customFormat="false" ht="15" hidden="false" customHeight="false" outlineLevel="0" collapsed="false">
      <c r="A134" s="18" t="s">
        <v>92</v>
      </c>
      <c r="B134" s="32" t="s">
        <v>290</v>
      </c>
      <c r="C134" s="32" t="s">
        <v>37</v>
      </c>
      <c r="D134" s="19" t="s">
        <v>27</v>
      </c>
      <c r="E134" s="32" t="s">
        <v>291</v>
      </c>
      <c r="F134" s="4" t="s">
        <v>274</v>
      </c>
      <c r="G134" s="35" t="s">
        <v>257</v>
      </c>
      <c r="H134" s="47" t="n">
        <v>0.333333333333333</v>
      </c>
      <c r="I134" s="47" t="n">
        <v>0.416666666666667</v>
      </c>
      <c r="J134" s="22" t="n">
        <v>35</v>
      </c>
      <c r="K134" s="37" t="s">
        <v>257</v>
      </c>
      <c r="L134" s="23" t="str">
        <f aca="false" t="array" ref="L134:L134">_xlfn.TEXTJOIN(", ",TRUE(),TEXT(H134+_xlfn.SEQUENCE(HOUR(I134-H134),1,0,1)/24,"hh:mm:ss") &amp; "-" &amp; TEXT(H134+_xlfn.SEQUENCE(HOUR(I134-H134),1,1,1)/24,"hh:mm:ss"))</f>
        <v>08:00:00-09:00:00, 09:00:00-10:00:00</v>
      </c>
      <c r="M134" s="1" t="str">
        <f aca="false">IF(F134="","Não alocada","Alocada")</f>
        <v>Alocada</v>
      </c>
      <c r="N134" s="17" t="s">
        <v>23</v>
      </c>
      <c r="O134" s="17" t="s">
        <v>24</v>
      </c>
    </row>
    <row r="135" customFormat="false" ht="15" hidden="false" customHeight="false" outlineLevel="0" collapsed="false">
      <c r="A135" s="18" t="s">
        <v>92</v>
      </c>
      <c r="B135" s="32" t="s">
        <v>290</v>
      </c>
      <c r="C135" s="32" t="s">
        <v>37</v>
      </c>
      <c r="D135" s="19" t="s">
        <v>27</v>
      </c>
      <c r="E135" s="32" t="s">
        <v>291</v>
      </c>
      <c r="F135" s="4" t="s">
        <v>274</v>
      </c>
      <c r="G135" s="35" t="s">
        <v>66</v>
      </c>
      <c r="H135" s="47" t="n">
        <v>0.416666666666667</v>
      </c>
      <c r="I135" s="47" t="n">
        <v>0.5</v>
      </c>
      <c r="J135" s="22" t="n">
        <v>35</v>
      </c>
      <c r="K135" s="37" t="s">
        <v>66</v>
      </c>
      <c r="L135" s="23" t="str">
        <f aca="false" t="array" ref="L135:L135">_xlfn.TEXTJOIN(", ",TRUE(),TEXT(H135+_xlfn.SEQUENCE(HOUR(I135-H135),1,0,1)/24,"hh:mm:ss") &amp; "-" &amp; TEXT(H135+_xlfn.SEQUENCE(HOUR(I135-H135),1,1,1)/24,"hh:mm:ss"))</f>
        <v>10:00:00-11:00:00, 11:00:00-12:00:00</v>
      </c>
      <c r="M135" s="1" t="str">
        <f aca="false">IF(F135="","Não alocada","Alocada")</f>
        <v>Alocada</v>
      </c>
      <c r="N135" s="17" t="s">
        <v>23</v>
      </c>
      <c r="O135" s="17" t="s">
        <v>24</v>
      </c>
    </row>
    <row r="136" customFormat="false" ht="15" hidden="false" customHeight="false" outlineLevel="0" collapsed="false">
      <c r="A136" s="18" t="s">
        <v>92</v>
      </c>
      <c r="B136" s="32" t="s">
        <v>292</v>
      </c>
      <c r="C136" s="32" t="s">
        <v>293</v>
      </c>
      <c r="D136" s="19" t="s">
        <v>19</v>
      </c>
      <c r="E136" s="32" t="s">
        <v>291</v>
      </c>
      <c r="F136" s="4" t="s">
        <v>274</v>
      </c>
      <c r="G136" s="35" t="s">
        <v>257</v>
      </c>
      <c r="H136" s="47" t="n">
        <v>0.416666666666667</v>
      </c>
      <c r="I136" s="47" t="n">
        <v>0.5</v>
      </c>
      <c r="J136" s="22" t="n">
        <v>17</v>
      </c>
      <c r="K136" s="37" t="s">
        <v>257</v>
      </c>
      <c r="L136" s="23" t="str">
        <f aca="false" t="array" ref="L136:L136">_xlfn.TEXTJOIN(", ",TRUE(),TEXT(H136+_xlfn.SEQUENCE(HOUR(I136-H136),1,0,1)/24,"hh:mm:ss") &amp; "-" &amp; TEXT(H136+_xlfn.SEQUENCE(HOUR(I136-H136),1,1,1)/24,"hh:mm:ss"))</f>
        <v>10:00:00-11:00:00, 11:00:00-12:00:00</v>
      </c>
      <c r="M136" s="1" t="str">
        <f aca="false">IF(F136="","Não alocada","Alocada")</f>
        <v>Alocada</v>
      </c>
      <c r="N136" s="17" t="s">
        <v>23</v>
      </c>
      <c r="O136" s="17" t="s">
        <v>24</v>
      </c>
    </row>
    <row r="137" customFormat="false" ht="15" hidden="false" customHeight="false" outlineLevel="0" collapsed="false">
      <c r="A137" s="18" t="s">
        <v>92</v>
      </c>
      <c r="B137" s="32" t="s">
        <v>292</v>
      </c>
      <c r="C137" s="32" t="s">
        <v>293</v>
      </c>
      <c r="D137" s="19" t="s">
        <v>19</v>
      </c>
      <c r="E137" s="32" t="s">
        <v>291</v>
      </c>
      <c r="F137" s="4" t="s">
        <v>274</v>
      </c>
      <c r="G137" s="35" t="s">
        <v>66</v>
      </c>
      <c r="H137" s="47" t="n">
        <v>0.333333333333333</v>
      </c>
      <c r="I137" s="47" t="n">
        <v>0.416666666666667</v>
      </c>
      <c r="J137" s="22" t="n">
        <v>17</v>
      </c>
      <c r="K137" s="37" t="s">
        <v>66</v>
      </c>
      <c r="L137" s="23" t="str">
        <f aca="false" t="array" ref="L137:L137">_xlfn.TEXTJOIN(", ",TRUE(),TEXT(H137+_xlfn.SEQUENCE(HOUR(I137-H137),1,0,1)/24,"hh:mm:ss") &amp; "-" &amp; TEXT(H137+_xlfn.SEQUENCE(HOUR(I137-H137),1,1,1)/24,"hh:mm:ss"))</f>
        <v>08:00:00-09:00:00, 09:00:00-10:00:00</v>
      </c>
      <c r="M137" s="1" t="str">
        <f aca="false">IF(F137="","Não alocada","Alocada")</f>
        <v>Alocada</v>
      </c>
      <c r="N137" s="17" t="s">
        <v>23</v>
      </c>
      <c r="O137" s="17" t="s">
        <v>24</v>
      </c>
    </row>
    <row r="138" customFormat="false" ht="15" hidden="false" customHeight="false" outlineLevel="0" collapsed="false">
      <c r="A138" s="18" t="s">
        <v>92</v>
      </c>
      <c r="B138" s="32" t="s">
        <v>272</v>
      </c>
      <c r="C138" s="32" t="s">
        <v>273</v>
      </c>
      <c r="D138" s="19" t="s">
        <v>41</v>
      </c>
      <c r="E138" s="32" t="s">
        <v>294</v>
      </c>
      <c r="F138" s="4" t="s">
        <v>274</v>
      </c>
      <c r="G138" s="20" t="s">
        <v>22</v>
      </c>
      <c r="H138" s="33" t="n">
        <v>0.583333333333333</v>
      </c>
      <c r="I138" s="33" t="n">
        <v>0.666666666666667</v>
      </c>
      <c r="J138" s="22" t="n">
        <v>37</v>
      </c>
      <c r="K138" s="29"/>
      <c r="L138" s="23" t="str">
        <f aca="false" t="array" ref="L138:L138">_xlfn.TEXTJOIN(", ",TRUE(),TEXT(H138+_xlfn.SEQUENCE(HOUR(I138-H138),1,0,1)/24,"hh:mm:ss") &amp; "-" &amp; TEXT(H138+_xlfn.SEQUENCE(HOUR(I138-H138),1,1,1)/24,"hh:mm:ss"))</f>
        <v>14:00:00-15:00:00, 15:00:00-16:00:00</v>
      </c>
      <c r="M138" s="1" t="str">
        <f aca="false">IF(F138="","Não alocada","Alocada")</f>
        <v>Alocada</v>
      </c>
      <c r="N138" s="17" t="s">
        <v>23</v>
      </c>
      <c r="O138" s="17" t="s">
        <v>24</v>
      </c>
    </row>
    <row r="139" customFormat="false" ht="15" hidden="false" customHeight="false" outlineLevel="0" collapsed="false">
      <c r="A139" s="18" t="s">
        <v>16</v>
      </c>
      <c r="B139" s="19" t="s">
        <v>295</v>
      </c>
      <c r="C139" s="19" t="s">
        <v>296</v>
      </c>
      <c r="D139" s="19" t="s">
        <v>27</v>
      </c>
      <c r="E139" s="19" t="s">
        <v>297</v>
      </c>
      <c r="F139" s="4" t="s">
        <v>298</v>
      </c>
      <c r="G139" s="20" t="s">
        <v>34</v>
      </c>
      <c r="H139" s="21" t="n">
        <v>0.333333333333333</v>
      </c>
      <c r="I139" s="48" t="n">
        <v>0.5</v>
      </c>
      <c r="J139" s="22" t="n">
        <v>17</v>
      </c>
      <c r="K139" s="19" t="s">
        <v>34</v>
      </c>
      <c r="L139" s="23" t="str">
        <f aca="false" t="array" ref="L139:L139">_xlfn.TEXTJOIN(", ",TRUE(),TEXT(H139+_xlfn.SEQUENCE(HOUR(I139-H139),1,0,1)/24,"hh:mm:ss") &amp; "-" &amp; TEXT(H139+_xlfn.SEQUENCE(HOUR(I139-H139),1,1,1)/24,"hh:mm:ss"))</f>
        <v>08:00:00-09:00:00, 09:00:00-10:00:00, 10:00:00-11:00:00, 11:00:00-12:00:00</v>
      </c>
      <c r="M139" s="1" t="str">
        <f aca="false">IF(F139="","Não alocada","Alocada")</f>
        <v>Alocada</v>
      </c>
      <c r="N139" s="17" t="s">
        <v>23</v>
      </c>
      <c r="O139" s="17" t="s">
        <v>24</v>
      </c>
    </row>
    <row r="140" customFormat="false" ht="15" hidden="false" customHeight="false" outlineLevel="0" collapsed="false">
      <c r="A140" s="18" t="s">
        <v>221</v>
      </c>
      <c r="B140" s="26" t="s">
        <v>299</v>
      </c>
      <c r="C140" s="26" t="s">
        <v>300</v>
      </c>
      <c r="D140" s="19" t="s">
        <v>41</v>
      </c>
      <c r="E140" s="26" t="s">
        <v>301</v>
      </c>
      <c r="F140" s="4" t="s">
        <v>298</v>
      </c>
      <c r="G140" s="20" t="s">
        <v>22</v>
      </c>
      <c r="H140" s="27" t="n">
        <v>0.416666666666667</v>
      </c>
      <c r="I140" s="27" t="n">
        <v>0.5</v>
      </c>
      <c r="J140" s="22" t="n">
        <v>35</v>
      </c>
      <c r="K140" s="19" t="s">
        <v>22</v>
      </c>
      <c r="L140" s="23" t="str">
        <f aca="false" t="array" ref="L140:L140">_xlfn.TEXTJOIN(", ",TRUE(),TEXT(H140+_xlfn.SEQUENCE(HOUR(I140-H140),1,0,1)/24,"hh:mm:ss") &amp; "-" &amp; TEXT(H140+_xlfn.SEQUENCE(HOUR(I140-H140),1,1,1)/24,"hh:mm:ss"))</f>
        <v>10:00:00-11:00:00, 11:00:00-12:00:00</v>
      </c>
      <c r="M140" s="1" t="str">
        <f aca="false">IF(F140="","Não alocada","Alocada")</f>
        <v>Alocada</v>
      </c>
      <c r="N140" s="17" t="s">
        <v>23</v>
      </c>
      <c r="O140" s="17" t="s">
        <v>24</v>
      </c>
    </row>
    <row r="141" customFormat="false" ht="15" hidden="false" customHeight="false" outlineLevel="0" collapsed="false">
      <c r="A141" s="28" t="s">
        <v>69</v>
      </c>
      <c r="B141" s="26" t="s">
        <v>299</v>
      </c>
      <c r="C141" s="26" t="s">
        <v>302</v>
      </c>
      <c r="D141" s="19" t="s">
        <v>60</v>
      </c>
      <c r="E141" s="26" t="s">
        <v>303</v>
      </c>
      <c r="F141" s="4" t="s">
        <v>298</v>
      </c>
      <c r="G141" s="20" t="s">
        <v>22</v>
      </c>
      <c r="H141" s="27" t="n">
        <v>0.583333333333333</v>
      </c>
      <c r="I141" s="27" t="n">
        <v>0.666666666666667</v>
      </c>
      <c r="J141" s="22" t="n">
        <v>35</v>
      </c>
      <c r="K141" s="29"/>
      <c r="L141" s="23" t="str">
        <f aca="false" t="array" ref="L141:L141">_xlfn.TEXTJOIN(", ",TRUE(),TEXT(H141+_xlfn.SEQUENCE(HOUR(I141-H141),1,0,1)/24,"hh:mm:ss") &amp; "-" &amp; TEXT(H141+_xlfn.SEQUENCE(HOUR(I141-H141),1,1,1)/24,"hh:mm:ss"))</f>
        <v>14:00:00-15:00:00, 15:00:00-16:00:00</v>
      </c>
      <c r="M141" s="1" t="str">
        <f aca="false">IF(F141="","Não alocada","Alocada")</f>
        <v>Alocada</v>
      </c>
      <c r="N141" s="17" t="s">
        <v>23</v>
      </c>
      <c r="O141" s="17" t="s">
        <v>24</v>
      </c>
    </row>
    <row r="142" customFormat="false" ht="15" hidden="false" customHeight="false" outlineLevel="0" collapsed="false">
      <c r="A142" s="28" t="s">
        <v>69</v>
      </c>
      <c r="B142" s="26" t="s">
        <v>304</v>
      </c>
      <c r="C142" s="26" t="s">
        <v>305</v>
      </c>
      <c r="D142" s="19" t="s">
        <v>73</v>
      </c>
      <c r="E142" s="26" t="s">
        <v>306</v>
      </c>
      <c r="F142" s="4" t="s">
        <v>298</v>
      </c>
      <c r="G142" s="20" t="s">
        <v>29</v>
      </c>
      <c r="H142" s="27" t="n">
        <v>0.333333333333333</v>
      </c>
      <c r="I142" s="27" t="n">
        <v>0.416666666666667</v>
      </c>
      <c r="J142" s="22" t="n">
        <v>0</v>
      </c>
      <c r="K142" s="29"/>
      <c r="L142" s="23" t="str">
        <f aca="false" t="array" ref="L142:L142">_xlfn.TEXTJOIN(", ",TRUE(),TEXT(H142+_xlfn.SEQUENCE(HOUR(I142-H142),1,0,1)/24,"hh:mm:ss") &amp; "-" &amp; TEXT(H142+_xlfn.SEQUENCE(HOUR(I142-H142),1,1,1)/24,"hh:mm:ss"))</f>
        <v>08:00:00-09:00:00, 09:00:00-10:00:00</v>
      </c>
      <c r="M142" s="1" t="str">
        <f aca="false">IF(F142="","Não alocada","Alocada")</f>
        <v>Alocada</v>
      </c>
      <c r="N142" s="17" t="s">
        <v>23</v>
      </c>
      <c r="O142" s="17" t="s">
        <v>24</v>
      </c>
    </row>
    <row r="143" customFormat="false" ht="15" hidden="false" customHeight="false" outlineLevel="0" collapsed="false">
      <c r="A143" s="28" t="s">
        <v>69</v>
      </c>
      <c r="B143" s="26" t="s">
        <v>304</v>
      </c>
      <c r="C143" s="26" t="s">
        <v>305</v>
      </c>
      <c r="D143" s="19" t="s">
        <v>19</v>
      </c>
      <c r="E143" s="26" t="s">
        <v>307</v>
      </c>
      <c r="F143" s="4" t="s">
        <v>298</v>
      </c>
      <c r="G143" s="20" t="s">
        <v>29</v>
      </c>
      <c r="H143" s="27" t="n">
        <v>0.333333333333333</v>
      </c>
      <c r="I143" s="27" t="n">
        <v>0.416666666666667</v>
      </c>
      <c r="J143" s="22" t="n">
        <v>0</v>
      </c>
      <c r="K143" s="29"/>
      <c r="L143" s="23" t="str">
        <f aca="false" t="array" ref="L143:L143">_xlfn.TEXTJOIN(", ",TRUE(),TEXT(H143+_xlfn.SEQUENCE(HOUR(I143-H143),1,0,1)/24,"hh:mm:ss") &amp; "-" &amp; TEXT(H143+_xlfn.SEQUENCE(HOUR(I143-H143),1,1,1)/24,"hh:mm:ss"))</f>
        <v>08:00:00-09:00:00, 09:00:00-10:00:00</v>
      </c>
      <c r="M143" s="1" t="str">
        <f aca="false">IF(F143="","Não alocada","Alocada")</f>
        <v>Alocada</v>
      </c>
      <c r="N143" s="17" t="s">
        <v>23</v>
      </c>
      <c r="O143" s="17" t="s">
        <v>24</v>
      </c>
    </row>
    <row r="144" customFormat="false" ht="15" hidden="false" customHeight="false" outlineLevel="0" collapsed="false">
      <c r="A144" s="18" t="s">
        <v>83</v>
      </c>
      <c r="B144" s="26" t="s">
        <v>308</v>
      </c>
      <c r="C144" s="26" t="s">
        <v>309</v>
      </c>
      <c r="D144" s="19" t="s">
        <v>76</v>
      </c>
      <c r="E144" s="26" t="s">
        <v>205</v>
      </c>
      <c r="F144" s="4" t="s">
        <v>298</v>
      </c>
      <c r="G144" s="20" t="s">
        <v>257</v>
      </c>
      <c r="H144" s="27" t="n">
        <v>0.333333333333333</v>
      </c>
      <c r="I144" s="27" t="n">
        <v>0.416666666666667</v>
      </c>
      <c r="J144" s="22" t="n">
        <v>13</v>
      </c>
      <c r="K144" s="29"/>
      <c r="L144" s="23" t="str">
        <f aca="false" t="array" ref="L144:L144">_xlfn.TEXTJOIN(", ",TRUE(),TEXT(H144+_xlfn.SEQUENCE(HOUR(I144-H144),1,0,1)/24,"hh:mm:ss") &amp; "-" &amp; TEXT(H144+_xlfn.SEQUENCE(HOUR(I144-H144),1,1,1)/24,"hh:mm:ss"))</f>
        <v>08:00:00-09:00:00, 09:00:00-10:00:00</v>
      </c>
      <c r="M144" s="1" t="str">
        <f aca="false">IF(F144="","Não alocada","Alocada")</f>
        <v>Alocada</v>
      </c>
      <c r="N144" s="17" t="s">
        <v>23</v>
      </c>
      <c r="O144" s="17" t="s">
        <v>24</v>
      </c>
    </row>
    <row r="145" customFormat="false" ht="15" hidden="false" customHeight="false" outlineLevel="0" collapsed="false">
      <c r="A145" s="18" t="s">
        <v>83</v>
      </c>
      <c r="B145" s="26" t="s">
        <v>310</v>
      </c>
      <c r="C145" s="26" t="s">
        <v>311</v>
      </c>
      <c r="D145" s="19" t="s">
        <v>76</v>
      </c>
      <c r="E145" s="26" t="s">
        <v>312</v>
      </c>
      <c r="F145" s="4" t="s">
        <v>298</v>
      </c>
      <c r="G145" s="20" t="s">
        <v>66</v>
      </c>
      <c r="H145" s="27" t="n">
        <v>0.583333333333333</v>
      </c>
      <c r="I145" s="27" t="n">
        <v>0.75</v>
      </c>
      <c r="J145" s="22" t="n">
        <v>45</v>
      </c>
      <c r="K145" s="29"/>
      <c r="L145" s="23" t="str">
        <f aca="false" t="array" ref="L145:L145">_xlfn.TEXTJOIN(", ",TRUE(),TEXT(H145+_xlfn.SEQUENCE(HOUR(I145-H145),1,0,1)/24,"hh:mm:ss") &amp; "-" &amp; TEXT(H145+_xlfn.SEQUENCE(HOUR(I145-H145),1,1,1)/24,"hh:mm:ss"))</f>
        <v>14:00:00-15:00:00, 15:00:00-16:00:00, 16:00:00-17:00:00, 17:00:00-18:00:00</v>
      </c>
      <c r="M145" s="1" t="str">
        <f aca="false">IF(F145="","Não alocada","Alocada")</f>
        <v>Alocada</v>
      </c>
      <c r="N145" s="17" t="s">
        <v>23</v>
      </c>
      <c r="O145" s="17" t="s">
        <v>24</v>
      </c>
    </row>
    <row r="146" customFormat="false" ht="15" hidden="false" customHeight="false" outlineLevel="0" collapsed="false">
      <c r="A146" s="18" t="s">
        <v>90</v>
      </c>
      <c r="B146" s="31" t="s">
        <v>313</v>
      </c>
      <c r="C146" s="31" t="s">
        <v>314</v>
      </c>
      <c r="D146" s="19" t="s">
        <v>73</v>
      </c>
      <c r="E146" s="31" t="s">
        <v>315</v>
      </c>
      <c r="F146" s="4" t="s">
        <v>298</v>
      </c>
      <c r="G146" s="20" t="s">
        <v>56</v>
      </c>
      <c r="H146" s="27" t="n">
        <v>0.583333333333333</v>
      </c>
      <c r="I146" s="27" t="n">
        <v>0.75</v>
      </c>
      <c r="J146" s="22" t="n">
        <v>6</v>
      </c>
      <c r="K146" s="29"/>
      <c r="L146" s="23" t="str">
        <f aca="false" t="array" ref="L146:L146">_xlfn.TEXTJOIN(", ",TRUE(),TEXT(H146+_xlfn.SEQUENCE(HOUR(I146-H146),1,0,1)/24,"hh:mm:ss") &amp; "-" &amp; TEXT(H146+_xlfn.SEQUENCE(HOUR(I146-H146),1,1,1)/24,"hh:mm:ss"))</f>
        <v>14:00:00-15:00:00, 15:00:00-16:00:00, 16:00:00-17:00:00, 17:00:00-18:00:00</v>
      </c>
      <c r="M146" s="1" t="str">
        <f aca="false">IF(F146="","Não alocada","Alocada")</f>
        <v>Alocada</v>
      </c>
      <c r="N146" s="17" t="s">
        <v>23</v>
      </c>
      <c r="O146" s="17" t="s">
        <v>24</v>
      </c>
    </row>
    <row r="147" customFormat="false" ht="15" hidden="false" customHeight="false" outlineLevel="0" collapsed="false">
      <c r="A147" s="18" t="s">
        <v>90</v>
      </c>
      <c r="B147" s="31" t="s">
        <v>316</v>
      </c>
      <c r="C147" s="31" t="s">
        <v>317</v>
      </c>
      <c r="D147" s="19" t="s">
        <v>27</v>
      </c>
      <c r="E147" s="31" t="s">
        <v>318</v>
      </c>
      <c r="F147" s="4" t="s">
        <v>298</v>
      </c>
      <c r="G147" s="20" t="s">
        <v>29</v>
      </c>
      <c r="H147" s="27" t="n">
        <v>0.416666666666667</v>
      </c>
      <c r="I147" s="27" t="n">
        <v>0.5</v>
      </c>
      <c r="J147" s="22" t="n">
        <v>37</v>
      </c>
      <c r="K147" s="29"/>
      <c r="L147" s="23" t="str">
        <f aca="false" t="array" ref="L147:L147">_xlfn.TEXTJOIN(", ",TRUE(),TEXT(H147+_xlfn.SEQUENCE(HOUR(I147-H147),1,0,1)/24,"hh:mm:ss") &amp; "-" &amp; TEXT(H147+_xlfn.SEQUENCE(HOUR(I147-H147),1,1,1)/24,"hh:mm:ss"))</f>
        <v>10:00:00-11:00:00, 11:00:00-12:00:00</v>
      </c>
      <c r="M147" s="1" t="str">
        <f aca="false">IF(F147="","Não alocada","Alocada")</f>
        <v>Alocada</v>
      </c>
      <c r="N147" s="17" t="s">
        <v>23</v>
      </c>
      <c r="O147" s="17" t="s">
        <v>24</v>
      </c>
    </row>
    <row r="148" customFormat="false" ht="15" hidden="false" customHeight="false" outlineLevel="0" collapsed="false">
      <c r="A148" s="18" t="s">
        <v>90</v>
      </c>
      <c r="B148" s="31" t="s">
        <v>316</v>
      </c>
      <c r="C148" s="31" t="s">
        <v>317</v>
      </c>
      <c r="D148" s="19" t="s">
        <v>60</v>
      </c>
      <c r="E148" s="31" t="s">
        <v>319</v>
      </c>
      <c r="F148" s="4" t="s">
        <v>298</v>
      </c>
      <c r="G148" s="20" t="s">
        <v>29</v>
      </c>
      <c r="H148" s="27" t="n">
        <v>1.41666666666667</v>
      </c>
      <c r="I148" s="27" t="n">
        <v>1.5</v>
      </c>
      <c r="J148" s="22" t="n">
        <v>37</v>
      </c>
      <c r="K148" s="29"/>
      <c r="L148" s="23" t="str">
        <f aca="false" t="array" ref="L148:L148">_xlfn.TEXTJOIN(", ",TRUE(),TEXT(H148+_xlfn.SEQUENCE(HOUR(I148-H148),1,0,1)/24,"hh:mm:ss") &amp; "-" &amp; TEXT(H148+_xlfn.SEQUENCE(HOUR(I148-H148),1,1,1)/24,"hh:mm:ss"))</f>
        <v>10:00:00-11:00:00, 11:00:00-12:00:00</v>
      </c>
      <c r="M148" s="1" t="str">
        <f aca="false">IF(F148="","Não alocada","Alocada")</f>
        <v>Alocada</v>
      </c>
      <c r="N148" s="17" t="s">
        <v>23</v>
      </c>
      <c r="O148" s="17" t="s">
        <v>24</v>
      </c>
    </row>
    <row r="149" customFormat="false" ht="15" hidden="false" customHeight="false" outlineLevel="0" collapsed="false">
      <c r="A149" s="18" t="s">
        <v>90</v>
      </c>
      <c r="B149" s="31" t="s">
        <v>320</v>
      </c>
      <c r="C149" s="31" t="s">
        <v>321</v>
      </c>
      <c r="D149" s="19" t="s">
        <v>27</v>
      </c>
      <c r="E149" s="31" t="s">
        <v>322</v>
      </c>
      <c r="F149" s="4" t="s">
        <v>298</v>
      </c>
      <c r="G149" s="20" t="s">
        <v>45</v>
      </c>
      <c r="H149" s="27" t="n">
        <v>0.666666666666667</v>
      </c>
      <c r="I149" s="27" t="n">
        <v>0.833333333333333</v>
      </c>
      <c r="J149" s="22" t="n">
        <v>7</v>
      </c>
      <c r="K149" s="29"/>
      <c r="L149" s="23" t="str">
        <f aca="false" t="array" ref="L149:L149">_xlfn.TEXTJOIN(", ",TRUE(),TEXT(H149+_xlfn.SEQUENCE(HOUR(I149-H149),1,0,1)/24,"hh:mm:ss") &amp; "-" &amp; TEXT(H149+_xlfn.SEQUENCE(HOUR(I149-H149),1,1,1)/24,"hh:mm:ss"))</f>
        <v>16:00:00-17:00:00, 17:00:00-18:00:00, 18:00:00-19:00:00, 19:00:00-20:00:00</v>
      </c>
      <c r="M149" s="1" t="str">
        <f aca="false">IF(F149="","Não alocada","Alocada")</f>
        <v>Alocada</v>
      </c>
      <c r="N149" s="17" t="s">
        <v>23</v>
      </c>
      <c r="O149" s="17" t="s">
        <v>24</v>
      </c>
    </row>
    <row r="150" customFormat="false" ht="15" hidden="false" customHeight="false" outlineLevel="0" collapsed="false">
      <c r="A150" s="18" t="s">
        <v>90</v>
      </c>
      <c r="B150" s="31" t="s">
        <v>323</v>
      </c>
      <c r="C150" s="31" t="s">
        <v>324</v>
      </c>
      <c r="D150" s="19" t="s">
        <v>27</v>
      </c>
      <c r="E150" s="26"/>
      <c r="F150" s="4" t="s">
        <v>298</v>
      </c>
      <c r="G150" s="20" t="s">
        <v>34</v>
      </c>
      <c r="H150" s="27" t="n">
        <v>0.416666666666667</v>
      </c>
      <c r="I150" s="27" t="n">
        <v>0.5</v>
      </c>
      <c r="J150" s="22" t="n">
        <v>40</v>
      </c>
      <c r="K150" s="29"/>
      <c r="L150" s="23" t="str">
        <f aca="false" t="array" ref="L150:L150">_xlfn.TEXTJOIN(", ",TRUE(),TEXT(H150+_xlfn.SEQUENCE(HOUR(I150-H150),1,0,1)/24,"hh:mm:ss") &amp; "-" &amp; TEXT(H150+_xlfn.SEQUENCE(HOUR(I150-H150),1,1,1)/24,"hh:mm:ss"))</f>
        <v>10:00:00-11:00:00, 11:00:00-12:00:00</v>
      </c>
      <c r="M150" s="1" t="str">
        <f aca="false">IF(F150="","Não alocada","Alocada")</f>
        <v>Alocada</v>
      </c>
      <c r="N150" s="17" t="s">
        <v>23</v>
      </c>
      <c r="O150" s="17" t="s">
        <v>24</v>
      </c>
    </row>
    <row r="151" customFormat="false" ht="15" hidden="false" customHeight="false" outlineLevel="0" collapsed="false">
      <c r="A151" s="18" t="s">
        <v>90</v>
      </c>
      <c r="B151" s="31" t="s">
        <v>323</v>
      </c>
      <c r="C151" s="31" t="s">
        <v>324</v>
      </c>
      <c r="D151" s="19" t="s">
        <v>60</v>
      </c>
      <c r="E151" s="26"/>
      <c r="F151" s="4" t="s">
        <v>298</v>
      </c>
      <c r="G151" s="20" t="s">
        <v>34</v>
      </c>
      <c r="H151" s="27" t="n">
        <v>0.583333333333333</v>
      </c>
      <c r="I151" s="27" t="n">
        <v>0.666666666666667</v>
      </c>
      <c r="J151" s="22" t="n">
        <v>40</v>
      </c>
      <c r="K151" s="29"/>
      <c r="L151" s="23" t="str">
        <f aca="false" t="array" ref="L151:L151">_xlfn.TEXTJOIN(", ",TRUE(),TEXT(H151+_xlfn.SEQUENCE(HOUR(I151-H151),1,0,1)/24,"hh:mm:ss") &amp; "-" &amp; TEXT(H151+_xlfn.SEQUENCE(HOUR(I151-H151),1,1,1)/24,"hh:mm:ss"))</f>
        <v>14:00:00-15:00:00, 15:00:00-16:00:00</v>
      </c>
      <c r="M151" s="1" t="str">
        <f aca="false">IF(F151="","Não alocada","Alocada")</f>
        <v>Alocada</v>
      </c>
      <c r="N151" s="17" t="s">
        <v>23</v>
      </c>
      <c r="O151" s="17" t="s">
        <v>24</v>
      </c>
    </row>
    <row r="152" customFormat="false" ht="15" hidden="false" customHeight="false" outlineLevel="0" collapsed="false">
      <c r="A152" s="18" t="s">
        <v>90</v>
      </c>
      <c r="B152" s="31" t="s">
        <v>313</v>
      </c>
      <c r="C152" s="31" t="s">
        <v>314</v>
      </c>
      <c r="D152" s="19" t="s">
        <v>19</v>
      </c>
      <c r="E152" s="31" t="s">
        <v>288</v>
      </c>
      <c r="F152" s="4" t="s">
        <v>298</v>
      </c>
      <c r="G152" s="20" t="s">
        <v>34</v>
      </c>
      <c r="H152" s="27" t="n">
        <v>0.416666666666667</v>
      </c>
      <c r="I152" s="27" t="n">
        <v>0.5</v>
      </c>
      <c r="J152" s="22" t="n">
        <v>6</v>
      </c>
      <c r="K152" s="29"/>
      <c r="L152" s="23" t="str">
        <f aca="false" t="array" ref="L152:L152">_xlfn.TEXTJOIN(", ",TRUE(),TEXT(H152+_xlfn.SEQUENCE(HOUR(I152-H152),1,0,1)/24,"hh:mm:ss") &amp; "-" &amp; TEXT(H152+_xlfn.SEQUENCE(HOUR(I152-H152),1,1,1)/24,"hh:mm:ss"))</f>
        <v>10:00:00-11:00:00, 11:00:00-12:00:00</v>
      </c>
      <c r="M152" s="1" t="str">
        <f aca="false">IF(F152="","Não alocada","Alocada")</f>
        <v>Alocada</v>
      </c>
      <c r="N152" s="17" t="s">
        <v>23</v>
      </c>
      <c r="O152" s="17" t="s">
        <v>24</v>
      </c>
    </row>
    <row r="153" s="17" customFormat="true" ht="15" hidden="false" customHeight="false" outlineLevel="0" collapsed="false">
      <c r="A153" s="18" t="s">
        <v>221</v>
      </c>
      <c r="B153" s="26" t="s">
        <v>325</v>
      </c>
      <c r="C153" s="26" t="s">
        <v>326</v>
      </c>
      <c r="D153" s="19" t="s">
        <v>19</v>
      </c>
      <c r="E153" s="26" t="s">
        <v>327</v>
      </c>
      <c r="F153" s="17" t="s">
        <v>328</v>
      </c>
      <c r="G153" s="20" t="s">
        <v>257</v>
      </c>
      <c r="H153" s="27" t="n">
        <v>0.416666666666667</v>
      </c>
      <c r="I153" s="27" t="n">
        <v>0.5</v>
      </c>
      <c r="J153" s="22" t="n">
        <v>15</v>
      </c>
      <c r="K153" s="19" t="s">
        <v>257</v>
      </c>
      <c r="L153" s="23" t="str">
        <f aca="false" t="array" ref="L153:L153">_xlfn.TEXTJOIN(", ",TRUE(),TEXT(H153+_xlfn.SEQUENCE(HOUR(I153-H153),1,0,1)/24,"hh:mm:ss") &amp; "-" &amp; TEXT(H153+_xlfn.SEQUENCE(HOUR(I153-H153),1,1,1)/24,"hh:mm:ss"))</f>
        <v>10:00:00-11:00:00, 11:00:00-12:00:00</v>
      </c>
      <c r="M153" s="1" t="str">
        <f aca="false">IF(F153="","Não alocada","Alocada")</f>
        <v>Alocada</v>
      </c>
      <c r="N153" s="17" t="s">
        <v>23</v>
      </c>
      <c r="O153" s="17" t="s">
        <v>24</v>
      </c>
    </row>
    <row r="154" customFormat="false" ht="15" hidden="false" customHeight="false" outlineLevel="0" collapsed="false">
      <c r="A154" s="18" t="s">
        <v>92</v>
      </c>
      <c r="B154" s="32" t="s">
        <v>329</v>
      </c>
      <c r="C154" s="32" t="s">
        <v>330</v>
      </c>
      <c r="D154" s="19" t="s">
        <v>19</v>
      </c>
      <c r="E154" s="32" t="s">
        <v>331</v>
      </c>
      <c r="F154" s="4" t="s">
        <v>328</v>
      </c>
      <c r="G154" s="34" t="s">
        <v>117</v>
      </c>
      <c r="H154" s="33" t="n">
        <v>0.416666666666667</v>
      </c>
      <c r="I154" s="33" t="n">
        <v>0.5</v>
      </c>
      <c r="J154" s="22" t="n">
        <v>4</v>
      </c>
      <c r="K154" s="29"/>
      <c r="L154" s="23" t="str">
        <f aca="false" t="array" ref="L154:L154">_xlfn.TEXTJOIN(", ",TRUE(),TEXT(H154+_xlfn.SEQUENCE(HOUR(I154-H154),1,0,1)/24,"hh:mm:ss") &amp; "-" &amp; TEXT(H154+_xlfn.SEQUENCE(HOUR(I154-H154),1,1,1)/24,"hh:mm:ss"))</f>
        <v>10:00:00-11:00:00, 11:00:00-12:00:00</v>
      </c>
      <c r="M154" s="1" t="str">
        <f aca="false">IF(F154="","Não alocada","Alocada")</f>
        <v>Alocada</v>
      </c>
      <c r="N154" s="17" t="s">
        <v>23</v>
      </c>
      <c r="O154" s="17" t="s">
        <v>24</v>
      </c>
    </row>
    <row r="155" customFormat="false" ht="15" hidden="false" customHeight="false" outlineLevel="0" collapsed="false">
      <c r="A155" s="18" t="s">
        <v>92</v>
      </c>
      <c r="B155" s="32" t="s">
        <v>332</v>
      </c>
      <c r="C155" s="32" t="s">
        <v>333</v>
      </c>
      <c r="D155" s="19" t="s">
        <v>19</v>
      </c>
      <c r="E155" s="32" t="s">
        <v>334</v>
      </c>
      <c r="F155" s="4" t="s">
        <v>335</v>
      </c>
      <c r="G155" s="20" t="s">
        <v>34</v>
      </c>
      <c r="H155" s="34" t="s">
        <v>154</v>
      </c>
      <c r="I155" s="34" t="s">
        <v>156</v>
      </c>
      <c r="J155" s="22" t="n">
        <v>12</v>
      </c>
      <c r="K155" s="29"/>
      <c r="L155" s="23" t="str">
        <f aca="false" t="array" ref="L155:L155">_xlfn.TEXTJOIN(", ",TRUE(),TEXT(H155+_xlfn.SEQUENCE(HOUR(I155-H155),1,0,1)/24,"hh:mm:ss") &amp; "-" &amp; TEXT(H155+_xlfn.SEQUENCE(HOUR(I155-H155),1,1,1)/24,"hh:mm:ss"))</f>
        <v>10:00:00-11:00:00, 11:00:00-12:00:00</v>
      </c>
      <c r="M155" s="1" t="str">
        <f aca="false">IF(F155="","Não alocada","Alocada")</f>
        <v>Alocada</v>
      </c>
      <c r="N155" s="17" t="s">
        <v>23</v>
      </c>
      <c r="O155" s="17" t="s">
        <v>24</v>
      </c>
    </row>
    <row r="156" customFormat="false" ht="15" hidden="false" customHeight="false" outlineLevel="0" collapsed="false">
      <c r="A156" s="18" t="s">
        <v>16</v>
      </c>
      <c r="B156" s="19" t="s">
        <v>336</v>
      </c>
      <c r="C156" s="19" t="s">
        <v>337</v>
      </c>
      <c r="D156" s="19" t="s">
        <v>73</v>
      </c>
      <c r="E156" s="19" t="s">
        <v>338</v>
      </c>
      <c r="F156" s="4" t="s">
        <v>339</v>
      </c>
      <c r="G156" s="20" t="s">
        <v>66</v>
      </c>
      <c r="H156" s="21" t="n">
        <v>0.333333333333333</v>
      </c>
      <c r="I156" s="21" t="n">
        <v>0.416666666666667</v>
      </c>
      <c r="J156" s="22" t="n">
        <v>53</v>
      </c>
      <c r="K156" s="19" t="s">
        <v>66</v>
      </c>
      <c r="L156" s="23" t="str">
        <f aca="false" t="array" ref="L156:L156">_xlfn.TEXTJOIN(", ",TRUE(),TEXT(H156+_xlfn.SEQUENCE(HOUR(I156-H156),1,0,1)/24,"hh:mm:ss") &amp; "-" &amp; TEXT(H156+_xlfn.SEQUENCE(HOUR(I156-H156),1,1,1)/24,"hh:mm:ss"))</f>
        <v>08:00:00-09:00:00, 09:00:00-10:00:00</v>
      </c>
      <c r="M156" s="1" t="str">
        <f aca="false">IF(F156="","Não alocada","Alocada")</f>
        <v>Alocada</v>
      </c>
      <c r="N156" s="17" t="s">
        <v>23</v>
      </c>
      <c r="O156" s="17" t="s">
        <v>24</v>
      </c>
    </row>
    <row r="157" customFormat="false" ht="15" hidden="false" customHeight="false" outlineLevel="0" collapsed="false">
      <c r="A157" s="18" t="s">
        <v>16</v>
      </c>
      <c r="B157" s="19" t="s">
        <v>340</v>
      </c>
      <c r="C157" s="19" t="s">
        <v>341</v>
      </c>
      <c r="D157" s="19" t="s">
        <v>27</v>
      </c>
      <c r="E157" s="19" t="s">
        <v>185</v>
      </c>
      <c r="F157" s="4" t="s">
        <v>339</v>
      </c>
      <c r="G157" s="20" t="s">
        <v>45</v>
      </c>
      <c r="H157" s="21" t="n">
        <v>0.666666666666667</v>
      </c>
      <c r="I157" s="21" t="n">
        <v>0.75</v>
      </c>
      <c r="J157" s="22" t="n">
        <v>37</v>
      </c>
      <c r="K157" s="19" t="s">
        <v>45</v>
      </c>
      <c r="L157" s="23" t="str">
        <f aca="false" t="array" ref="L157:L157">_xlfn.TEXTJOIN(", ",TRUE(),TEXT(H157+_xlfn.SEQUENCE(HOUR(I157-H157),1,0,1)/24,"hh:mm:ss") &amp; "-" &amp; TEXT(H157+_xlfn.SEQUENCE(HOUR(I157-H157),1,1,1)/24,"hh:mm:ss"))</f>
        <v>16:00:00-17:00:00, 17:00:00-18:00:00</v>
      </c>
      <c r="M157" s="1" t="str">
        <f aca="false">IF(F157="","Não alocada","Alocada")</f>
        <v>Alocada</v>
      </c>
      <c r="N157" s="17" t="s">
        <v>23</v>
      </c>
      <c r="O157" s="17" t="s">
        <v>24</v>
      </c>
    </row>
    <row r="158" customFormat="false" ht="15" hidden="false" customHeight="false" outlineLevel="0" collapsed="false">
      <c r="A158" s="18" t="s">
        <v>16</v>
      </c>
      <c r="B158" s="19" t="s">
        <v>342</v>
      </c>
      <c r="C158" s="19" t="s">
        <v>343</v>
      </c>
      <c r="D158" s="19" t="s">
        <v>27</v>
      </c>
      <c r="E158" s="19" t="s">
        <v>344</v>
      </c>
      <c r="F158" s="4" t="s">
        <v>339</v>
      </c>
      <c r="G158" s="20" t="s">
        <v>34</v>
      </c>
      <c r="H158" s="21" t="n">
        <v>0.333333333333333</v>
      </c>
      <c r="I158" s="21" t="n">
        <v>0.416666666666667</v>
      </c>
      <c r="J158" s="22" t="n">
        <v>41</v>
      </c>
      <c r="K158" s="19" t="s">
        <v>34</v>
      </c>
      <c r="L158" s="23" t="str">
        <f aca="false" t="array" ref="L158:L158">_xlfn.TEXTJOIN(", ",TRUE(),TEXT(H158+_xlfn.SEQUENCE(HOUR(I158-H158),1,0,1)/24,"hh:mm:ss") &amp; "-" &amp; TEXT(H158+_xlfn.SEQUENCE(HOUR(I158-H158),1,1,1)/24,"hh:mm:ss"))</f>
        <v>08:00:00-09:00:00, 09:00:00-10:00:00</v>
      </c>
      <c r="M158" s="1" t="str">
        <f aca="false">IF(F158="","Não alocada","Alocada")</f>
        <v>Alocada</v>
      </c>
      <c r="N158" s="17" t="s">
        <v>23</v>
      </c>
      <c r="O158" s="17" t="s">
        <v>24</v>
      </c>
    </row>
    <row r="159" customFormat="false" ht="15" hidden="false" customHeight="false" outlineLevel="0" collapsed="false">
      <c r="A159" s="18" t="s">
        <v>221</v>
      </c>
      <c r="B159" s="26" t="s">
        <v>342</v>
      </c>
      <c r="C159" s="26" t="s">
        <v>345</v>
      </c>
      <c r="D159" s="19" t="s">
        <v>32</v>
      </c>
      <c r="E159" s="26" t="s">
        <v>346</v>
      </c>
      <c r="F159" s="4" t="s">
        <v>339</v>
      </c>
      <c r="G159" s="20" t="s">
        <v>34</v>
      </c>
      <c r="H159" s="27" t="n">
        <v>0.416666666666667</v>
      </c>
      <c r="I159" s="27" t="n">
        <v>0.5</v>
      </c>
      <c r="J159" s="22" t="n">
        <v>41</v>
      </c>
      <c r="K159" s="19" t="s">
        <v>34</v>
      </c>
      <c r="L159" s="23" t="str">
        <f aca="false" t="array" ref="L159:L159">_xlfn.TEXTJOIN(", ",TRUE(),TEXT(H159+_xlfn.SEQUENCE(HOUR(I159-H159),1,0,1)/24,"hh:mm:ss") &amp; "-" &amp; TEXT(H159+_xlfn.SEQUENCE(HOUR(I159-H159),1,1,1)/24,"hh:mm:ss"))</f>
        <v>10:00:00-11:00:00, 11:00:00-12:00:00</v>
      </c>
      <c r="M159" s="1" t="str">
        <f aca="false">IF(F159="","Não alocada","Alocada")</f>
        <v>Alocada</v>
      </c>
      <c r="N159" s="17" t="s">
        <v>23</v>
      </c>
      <c r="O159" s="17" t="s">
        <v>24</v>
      </c>
    </row>
    <row r="160" customFormat="false" ht="15" hidden="false" customHeight="false" outlineLevel="0" collapsed="false">
      <c r="A160" s="28" t="s">
        <v>69</v>
      </c>
      <c r="B160" s="26" t="s">
        <v>336</v>
      </c>
      <c r="C160" s="26" t="s">
        <v>347</v>
      </c>
      <c r="D160" s="19" t="s">
        <v>19</v>
      </c>
      <c r="E160" s="26" t="s">
        <v>348</v>
      </c>
      <c r="F160" s="4" t="s">
        <v>339</v>
      </c>
      <c r="G160" s="20" t="s">
        <v>117</v>
      </c>
      <c r="H160" s="27" t="n">
        <v>0.583333333333333</v>
      </c>
      <c r="I160" s="27" t="n">
        <v>0.666666666666667</v>
      </c>
      <c r="J160" s="22" t="n">
        <v>53</v>
      </c>
      <c r="K160" s="29"/>
      <c r="L160" s="23" t="str">
        <f aca="false" t="array" ref="L160:L160">_xlfn.TEXTJOIN(", ",TRUE(),TEXT(H160+_xlfn.SEQUENCE(HOUR(I160-H160),1,0,1)/24,"hh:mm:ss") &amp; "-" &amp; TEXT(H160+_xlfn.SEQUENCE(HOUR(I160-H160),1,1,1)/24,"hh:mm:ss"))</f>
        <v>14:00:00-15:00:00, 15:00:00-16:00:00</v>
      </c>
      <c r="M160" s="1" t="str">
        <f aca="false">IF(F160="","Não alocada","Alocada")</f>
        <v>Alocada</v>
      </c>
      <c r="N160" s="17" t="s">
        <v>23</v>
      </c>
      <c r="O160" s="17" t="s">
        <v>24</v>
      </c>
    </row>
    <row r="161" customFormat="false" ht="15" hidden="false" customHeight="false" outlineLevel="0" collapsed="false">
      <c r="A161" s="28" t="s">
        <v>69</v>
      </c>
      <c r="B161" s="26" t="s">
        <v>342</v>
      </c>
      <c r="C161" s="26" t="s">
        <v>343</v>
      </c>
      <c r="D161" s="19" t="s">
        <v>60</v>
      </c>
      <c r="E161" s="26" t="s">
        <v>349</v>
      </c>
      <c r="F161" s="4" t="s">
        <v>339</v>
      </c>
      <c r="G161" s="20" t="s">
        <v>34</v>
      </c>
      <c r="H161" s="27" t="n">
        <v>0.583333333333333</v>
      </c>
      <c r="I161" s="27" t="n">
        <v>0.666666666666667</v>
      </c>
      <c r="J161" s="22" t="n">
        <v>41</v>
      </c>
      <c r="K161" s="29"/>
      <c r="L161" s="23" t="str">
        <f aca="false" t="array" ref="L161:L161">_xlfn.TEXTJOIN(", ",TRUE(),TEXT(H161+_xlfn.SEQUENCE(HOUR(I161-H161),1,0,1)/24,"hh:mm:ss") &amp; "-" &amp; TEXT(H161+_xlfn.SEQUENCE(HOUR(I161-H161),1,1,1)/24,"hh:mm:ss"))</f>
        <v>14:00:00-15:00:00, 15:00:00-16:00:00</v>
      </c>
      <c r="M161" s="1" t="str">
        <f aca="false">IF(F161="","Não alocada","Alocada")</f>
        <v>Alocada</v>
      </c>
      <c r="N161" s="17" t="s">
        <v>23</v>
      </c>
      <c r="O161" s="17" t="s">
        <v>24</v>
      </c>
    </row>
    <row r="162" customFormat="false" ht="15" hidden="false" customHeight="false" outlineLevel="0" collapsed="false">
      <c r="A162" s="28" t="s">
        <v>69</v>
      </c>
      <c r="B162" s="26" t="s">
        <v>336</v>
      </c>
      <c r="C162" s="26" t="s">
        <v>350</v>
      </c>
      <c r="D162" s="19" t="s">
        <v>76</v>
      </c>
      <c r="E162" s="26"/>
      <c r="F162" s="4" t="s">
        <v>339</v>
      </c>
      <c r="G162" s="20"/>
      <c r="H162" s="36"/>
      <c r="I162" s="36"/>
      <c r="J162" s="22" t="n">
        <v>53</v>
      </c>
      <c r="K162" s="29"/>
      <c r="L162" s="23" t="e">
        <f aca="false" t="array" ref="L162:L162">_xlfn.TEXTJOIN(", ",TRUE(),TEXT(H162+_xlfn.SEQUENCE(HOUR(I162-H162),1,0,1)/24,"hh:mm:ss") &amp; "-" &amp; TEXT(H162+_xlfn.SEQUENCE(HOUR(I162-H162),1,1,1)/24,"hh:mm:ss"))</f>
        <v>#VALUE!</v>
      </c>
      <c r="M162" s="1" t="str">
        <f aca="false">IF(F162="","Não alocada","Alocada")</f>
        <v>Alocada</v>
      </c>
      <c r="N162" s="17" t="s">
        <v>23</v>
      </c>
      <c r="O162" s="17" t="s">
        <v>24</v>
      </c>
    </row>
    <row r="163" customFormat="false" ht="15" hidden="false" customHeight="false" outlineLevel="0" collapsed="false">
      <c r="A163" s="18" t="s">
        <v>75</v>
      </c>
      <c r="B163" s="26" t="s">
        <v>351</v>
      </c>
      <c r="C163" s="26" t="s">
        <v>352</v>
      </c>
      <c r="D163" s="19" t="s">
        <v>76</v>
      </c>
      <c r="E163" s="26"/>
      <c r="F163" s="4" t="s">
        <v>339</v>
      </c>
      <c r="G163" s="20" t="s">
        <v>66</v>
      </c>
      <c r="H163" s="27" t="n">
        <v>0.333333333333333</v>
      </c>
      <c r="I163" s="27" t="n">
        <v>0.416666666666667</v>
      </c>
      <c r="J163" s="22" t="n">
        <v>40</v>
      </c>
      <c r="K163" s="29"/>
      <c r="L163" s="23" t="str">
        <f aca="false" t="array" ref="L163:L163">_xlfn.TEXTJOIN(", ",TRUE(),TEXT(H163+_xlfn.SEQUENCE(HOUR(I163-H163),1,0,1)/24,"hh:mm:ss") &amp; "-" &amp; TEXT(H163+_xlfn.SEQUENCE(HOUR(I163-H163),1,1,1)/24,"hh:mm:ss"))</f>
        <v>08:00:00-09:00:00, 09:00:00-10:00:00</v>
      </c>
      <c r="M163" s="1" t="str">
        <f aca="false">IF(F163="","Não alocada","Alocada")</f>
        <v>Alocada</v>
      </c>
      <c r="N163" s="17" t="s">
        <v>23</v>
      </c>
      <c r="O163" s="17" t="s">
        <v>24</v>
      </c>
    </row>
    <row r="164" customFormat="false" ht="15" hidden="false" customHeight="false" outlineLevel="0" collapsed="false">
      <c r="A164" s="18" t="s">
        <v>83</v>
      </c>
      <c r="B164" s="26" t="s">
        <v>353</v>
      </c>
      <c r="C164" s="26" t="s">
        <v>354</v>
      </c>
      <c r="D164" s="19" t="s">
        <v>76</v>
      </c>
      <c r="E164" s="26" t="s">
        <v>355</v>
      </c>
      <c r="F164" s="4" t="s">
        <v>339</v>
      </c>
      <c r="G164" s="20" t="s">
        <v>117</v>
      </c>
      <c r="H164" s="27" t="n">
        <v>0.583333333333333</v>
      </c>
      <c r="I164" s="27" t="n">
        <v>0.666666666666667</v>
      </c>
      <c r="J164" s="22" t="n">
        <v>19</v>
      </c>
      <c r="K164" s="29"/>
      <c r="L164" s="23" t="str">
        <f aca="false" t="array" ref="L164:L164">_xlfn.TEXTJOIN(", ",TRUE(),TEXT(H164+_xlfn.SEQUENCE(HOUR(I164-H164),1,0,1)/24,"hh:mm:ss") &amp; "-" &amp; TEXT(H164+_xlfn.SEQUENCE(HOUR(I164-H164),1,1,1)/24,"hh:mm:ss"))</f>
        <v>14:00:00-15:00:00, 15:00:00-16:00:00</v>
      </c>
      <c r="M164" s="1" t="str">
        <f aca="false">IF(F164="","Não alocada","Alocada")</f>
        <v>Alocada</v>
      </c>
      <c r="N164" s="17" t="s">
        <v>23</v>
      </c>
      <c r="O164" s="17" t="s">
        <v>24</v>
      </c>
    </row>
    <row r="165" customFormat="false" ht="15" hidden="false" customHeight="false" outlineLevel="0" collapsed="false">
      <c r="A165" s="18" t="s">
        <v>90</v>
      </c>
      <c r="B165" s="31" t="s">
        <v>356</v>
      </c>
      <c r="C165" s="31" t="s">
        <v>357</v>
      </c>
      <c r="D165" s="19" t="s">
        <v>19</v>
      </c>
      <c r="E165" s="31" t="s">
        <v>358</v>
      </c>
      <c r="F165" s="4" t="s">
        <v>339</v>
      </c>
      <c r="G165" s="20" t="s">
        <v>29</v>
      </c>
      <c r="H165" s="27" t="n">
        <v>0.416666666666667</v>
      </c>
      <c r="I165" s="27" t="n">
        <v>0.5</v>
      </c>
      <c r="J165" s="22" t="n">
        <v>24</v>
      </c>
      <c r="K165" s="29"/>
      <c r="L165" s="23" t="str">
        <f aca="false" t="array" ref="L165:L165">_xlfn.TEXTJOIN(", ",TRUE(),TEXT(H165+_xlfn.SEQUENCE(HOUR(I165-H165),1,0,1)/24,"hh:mm:ss") &amp; "-" &amp; TEXT(H165+_xlfn.SEQUENCE(HOUR(I165-H165),1,1,1)/24,"hh:mm:ss"))</f>
        <v>10:00:00-11:00:00, 11:00:00-12:00:00</v>
      </c>
      <c r="M165" s="1" t="str">
        <f aca="false">IF(F165="","Não alocada","Alocada")</f>
        <v>Alocada</v>
      </c>
      <c r="N165" s="17" t="s">
        <v>23</v>
      </c>
      <c r="O165" s="17" t="s">
        <v>24</v>
      </c>
    </row>
    <row r="166" customFormat="false" ht="15" hidden="false" customHeight="false" outlineLevel="0" collapsed="false">
      <c r="A166" s="18" t="s">
        <v>90</v>
      </c>
      <c r="B166" s="31" t="s">
        <v>359</v>
      </c>
      <c r="C166" s="31" t="s">
        <v>360</v>
      </c>
      <c r="D166" s="19" t="s">
        <v>19</v>
      </c>
      <c r="E166" s="31" t="s">
        <v>361</v>
      </c>
      <c r="F166" s="4" t="s">
        <v>339</v>
      </c>
      <c r="G166" s="20" t="s">
        <v>29</v>
      </c>
      <c r="H166" s="27" t="n">
        <v>0.333333333333333</v>
      </c>
      <c r="I166" s="27" t="n">
        <v>0.416666666666667</v>
      </c>
      <c r="J166" s="22" t="n">
        <v>32</v>
      </c>
      <c r="K166" s="29"/>
      <c r="L166" s="23" t="str">
        <f aca="false" t="array" ref="L166:L166">_xlfn.TEXTJOIN(", ",TRUE(),TEXT(H166+_xlfn.SEQUENCE(HOUR(I166-H166),1,0,1)/24,"hh:mm:ss") &amp; "-" &amp; TEXT(H166+_xlfn.SEQUENCE(HOUR(I166-H166),1,1,1)/24,"hh:mm:ss"))</f>
        <v>08:00:00-09:00:00, 09:00:00-10:00:00</v>
      </c>
      <c r="M166" s="1" t="str">
        <f aca="false">IF(F166="","Não alocada","Alocada")</f>
        <v>Alocada</v>
      </c>
      <c r="N166" s="17" t="s">
        <v>23</v>
      </c>
      <c r="O166" s="17" t="s">
        <v>24</v>
      </c>
    </row>
    <row r="167" customFormat="false" ht="15" hidden="false" customHeight="false" outlineLevel="0" collapsed="false">
      <c r="A167" s="18" t="s">
        <v>92</v>
      </c>
      <c r="B167" s="32" t="s">
        <v>362</v>
      </c>
      <c r="C167" s="32" t="s">
        <v>363</v>
      </c>
      <c r="D167" s="19" t="s">
        <v>19</v>
      </c>
      <c r="E167" s="32" t="s">
        <v>364</v>
      </c>
      <c r="F167" s="4" t="s">
        <v>365</v>
      </c>
      <c r="G167" s="20" t="s">
        <v>34</v>
      </c>
      <c r="H167" s="34" t="s">
        <v>154</v>
      </c>
      <c r="I167" s="34" t="s">
        <v>156</v>
      </c>
      <c r="J167" s="22" t="n">
        <v>15</v>
      </c>
      <c r="K167" s="29"/>
      <c r="L167" s="23" t="str">
        <f aca="false" t="array" ref="L167:L167">_xlfn.TEXTJOIN(", ",TRUE(),TEXT(H167+_xlfn.SEQUENCE(HOUR(I167-H167),1,0,1)/24,"hh:mm:ss") &amp; "-" &amp; TEXT(H167+_xlfn.SEQUENCE(HOUR(I167-H167),1,1,1)/24,"hh:mm:ss"))</f>
        <v>10:00:00-11:00:00, 11:00:00-12:00:00</v>
      </c>
      <c r="M167" s="1" t="str">
        <f aca="false">IF(F167="","Não alocada","Alocada")</f>
        <v>Alocada</v>
      </c>
      <c r="N167" s="17" t="s">
        <v>23</v>
      </c>
      <c r="O167" s="17" t="s">
        <v>24</v>
      </c>
    </row>
    <row r="168" customFormat="false" ht="15" hidden="false" customHeight="false" outlineLevel="0" collapsed="false">
      <c r="A168" s="18" t="s">
        <v>16</v>
      </c>
      <c r="B168" s="19" t="s">
        <v>366</v>
      </c>
      <c r="C168" s="19" t="s">
        <v>367</v>
      </c>
      <c r="D168" s="19" t="s">
        <v>73</v>
      </c>
      <c r="E168" s="19" t="s">
        <v>368</v>
      </c>
      <c r="F168" s="4" t="s">
        <v>369</v>
      </c>
      <c r="G168" s="35" t="s">
        <v>22</v>
      </c>
      <c r="H168" s="35" t="n">
        <v>0.666666666666667</v>
      </c>
      <c r="I168" s="35" t="n">
        <v>0.75</v>
      </c>
      <c r="J168" s="22" t="n">
        <v>39</v>
      </c>
      <c r="K168" s="37" t="s">
        <v>22</v>
      </c>
      <c r="L168" s="23" t="str">
        <f aca="false" t="array" ref="L168:L168">_xlfn.TEXTJOIN(", ",TRUE(),TEXT(H168+_xlfn.SEQUENCE(HOUR(I168-H168),1,0,1)/24,"hh:mm:ss") &amp; "-" &amp; TEXT(H168+_xlfn.SEQUENCE(HOUR(I168-H168),1,1,1)/24,"hh:mm:ss"))</f>
        <v>16:00:00-17:00:00, 17:00:00-18:00:00</v>
      </c>
      <c r="M168" s="1" t="str">
        <f aca="false">IF(F168="","Não alocada","Alocada")</f>
        <v>Alocada</v>
      </c>
      <c r="N168" s="17" t="s">
        <v>23</v>
      </c>
      <c r="O168" s="17" t="s">
        <v>24</v>
      </c>
    </row>
    <row r="169" customFormat="false" ht="15" hidden="false" customHeight="false" outlineLevel="0" collapsed="false">
      <c r="A169" s="18" t="s">
        <v>16</v>
      </c>
      <c r="B169" s="19" t="s">
        <v>366</v>
      </c>
      <c r="C169" s="19" t="s">
        <v>367</v>
      </c>
      <c r="D169" s="19" t="s">
        <v>73</v>
      </c>
      <c r="E169" s="19" t="s">
        <v>368</v>
      </c>
      <c r="F169" s="4" t="s">
        <v>369</v>
      </c>
      <c r="G169" s="35" t="s">
        <v>56</v>
      </c>
      <c r="H169" s="35" t="n">
        <v>0.583333333333333</v>
      </c>
      <c r="I169" s="35" t="n">
        <v>0.666666666666667</v>
      </c>
      <c r="J169" s="22" t="n">
        <v>39</v>
      </c>
      <c r="K169" s="37" t="s">
        <v>56</v>
      </c>
      <c r="L169" s="23" t="str">
        <f aca="false" t="array" ref="L169:L169">_xlfn.TEXTJOIN(", ",TRUE(),TEXT(H169+_xlfn.SEQUENCE(HOUR(I169-H169),1,0,1)/24,"hh:mm:ss") &amp; "-" &amp; TEXT(H169+_xlfn.SEQUENCE(HOUR(I169-H169),1,1,1)/24,"hh:mm:ss"))</f>
        <v>14:00:00-15:00:00, 15:00:00-16:00:00</v>
      </c>
      <c r="M169" s="1" t="str">
        <f aca="false">IF(F169="","Não alocada","Alocada")</f>
        <v>Alocada</v>
      </c>
      <c r="N169" s="17" t="s">
        <v>23</v>
      </c>
      <c r="O169" s="17" t="s">
        <v>24</v>
      </c>
    </row>
    <row r="170" customFormat="false" ht="15" hidden="false" customHeight="false" outlineLevel="0" collapsed="false">
      <c r="A170" s="18" t="s">
        <v>52</v>
      </c>
      <c r="B170" s="26" t="s">
        <v>370</v>
      </c>
      <c r="C170" s="26" t="s">
        <v>371</v>
      </c>
      <c r="D170" s="19" t="s">
        <v>27</v>
      </c>
      <c r="E170" s="26" t="s">
        <v>372</v>
      </c>
      <c r="F170" s="4" t="s">
        <v>369</v>
      </c>
      <c r="G170" s="35" t="s">
        <v>22</v>
      </c>
      <c r="H170" s="36" t="n">
        <v>0.333333333333333</v>
      </c>
      <c r="I170" s="36" t="n">
        <v>0.416666666666667</v>
      </c>
      <c r="J170" s="22" t="n">
        <v>37</v>
      </c>
      <c r="K170" s="37" t="s">
        <v>22</v>
      </c>
      <c r="L170" s="23" t="str">
        <f aca="false" t="array" ref="L170:L170">_xlfn.TEXTJOIN(", ",TRUE(),TEXT(H170+_xlfn.SEQUENCE(HOUR(I170-H170),1,0,1)/24,"hh:mm:ss") &amp; "-" &amp; TEXT(H170+_xlfn.SEQUENCE(HOUR(I170-H170),1,1,1)/24,"hh:mm:ss"))</f>
        <v>08:00:00-09:00:00, 09:00:00-10:00:00</v>
      </c>
      <c r="M170" s="1" t="str">
        <f aca="false">IF(F170="","Não alocada","Alocada")</f>
        <v>Alocada</v>
      </c>
      <c r="N170" s="17" t="s">
        <v>23</v>
      </c>
      <c r="O170" s="17" t="s">
        <v>24</v>
      </c>
    </row>
    <row r="171" customFormat="false" ht="15" hidden="false" customHeight="false" outlineLevel="0" collapsed="false">
      <c r="A171" s="18" t="s">
        <v>52</v>
      </c>
      <c r="B171" s="26" t="s">
        <v>370</v>
      </c>
      <c r="C171" s="26" t="s">
        <v>371</v>
      </c>
      <c r="D171" s="19" t="s">
        <v>27</v>
      </c>
      <c r="E171" s="26" t="s">
        <v>372</v>
      </c>
      <c r="F171" s="4" t="s">
        <v>369</v>
      </c>
      <c r="G171" s="35" t="s">
        <v>66</v>
      </c>
      <c r="H171" s="36" t="n">
        <v>0.416666666666667</v>
      </c>
      <c r="I171" s="36" t="n">
        <v>0.5</v>
      </c>
      <c r="J171" s="22" t="n">
        <v>37</v>
      </c>
      <c r="K171" s="37" t="s">
        <v>66</v>
      </c>
      <c r="L171" s="23" t="str">
        <f aca="false" t="array" ref="L171:L171">_xlfn.TEXTJOIN(", ",TRUE(),TEXT(H171+_xlfn.SEQUENCE(HOUR(I171-H171),1,0,1)/24,"hh:mm:ss") &amp; "-" &amp; TEXT(H171+_xlfn.SEQUENCE(HOUR(I171-H171),1,1,1)/24,"hh:mm:ss"))</f>
        <v>10:00:00-11:00:00, 11:00:00-12:00:00</v>
      </c>
      <c r="M171" s="1" t="str">
        <f aca="false">IF(F171="","Não alocada","Alocada")</f>
        <v>Alocada</v>
      </c>
      <c r="N171" s="17" t="s">
        <v>23</v>
      </c>
      <c r="O171" s="17" t="s">
        <v>24</v>
      </c>
    </row>
    <row r="172" customFormat="false" ht="15" hidden="false" customHeight="false" outlineLevel="0" collapsed="false">
      <c r="A172" s="18" t="s">
        <v>52</v>
      </c>
      <c r="B172" s="26" t="s">
        <v>370</v>
      </c>
      <c r="C172" s="26" t="s">
        <v>371</v>
      </c>
      <c r="D172" s="19" t="s">
        <v>60</v>
      </c>
      <c r="E172" s="26" t="s">
        <v>373</v>
      </c>
      <c r="F172" s="4" t="s">
        <v>369</v>
      </c>
      <c r="G172" s="35" t="s">
        <v>22</v>
      </c>
      <c r="H172" s="36" t="n">
        <v>0.583333333333333</v>
      </c>
      <c r="I172" s="36" t="n">
        <v>0.666666666666667</v>
      </c>
      <c r="J172" s="22" t="n">
        <v>37</v>
      </c>
      <c r="K172" s="37" t="s">
        <v>22</v>
      </c>
      <c r="L172" s="23" t="str">
        <f aca="false" t="array" ref="L172:L172">_xlfn.TEXTJOIN(", ",TRUE(),TEXT(H172+_xlfn.SEQUENCE(HOUR(I172-H172),1,0,1)/24,"hh:mm:ss") &amp; "-" &amp; TEXT(H172+_xlfn.SEQUENCE(HOUR(I172-H172),1,1,1)/24,"hh:mm:ss"))</f>
        <v>14:00:00-15:00:00, 15:00:00-16:00:00</v>
      </c>
      <c r="M172" s="1" t="str">
        <f aca="false">IF(F172="","Não alocada","Alocada")</f>
        <v>Alocada</v>
      </c>
      <c r="N172" s="17" t="s">
        <v>23</v>
      </c>
      <c r="O172" s="17" t="s">
        <v>24</v>
      </c>
    </row>
    <row r="173" customFormat="false" ht="15" hidden="false" customHeight="false" outlineLevel="0" collapsed="false">
      <c r="A173" s="18" t="s">
        <v>52</v>
      </c>
      <c r="B173" s="26" t="s">
        <v>370</v>
      </c>
      <c r="C173" s="26" t="s">
        <v>371</v>
      </c>
      <c r="D173" s="19" t="s">
        <v>60</v>
      </c>
      <c r="E173" s="26" t="s">
        <v>373</v>
      </c>
      <c r="F173" s="4" t="s">
        <v>369</v>
      </c>
      <c r="G173" s="35" t="s">
        <v>66</v>
      </c>
      <c r="H173" s="36" t="n">
        <v>0.666666666666667</v>
      </c>
      <c r="I173" s="36" t="n">
        <v>0.75</v>
      </c>
      <c r="J173" s="22" t="n">
        <v>37</v>
      </c>
      <c r="K173" s="37" t="s">
        <v>66</v>
      </c>
      <c r="L173" s="23" t="str">
        <f aca="false" t="array" ref="L173:L173">_xlfn.TEXTJOIN(", ",TRUE(),TEXT(H173+_xlfn.SEQUENCE(HOUR(I173-H173),1,0,1)/24,"hh:mm:ss") &amp; "-" &amp; TEXT(H173+_xlfn.SEQUENCE(HOUR(I173-H173),1,1,1)/24,"hh:mm:ss"))</f>
        <v>16:00:00-17:00:00, 17:00:00-18:00:00</v>
      </c>
      <c r="M173" s="1" t="str">
        <f aca="false">IF(F173="","Não alocada","Alocada")</f>
        <v>Alocada</v>
      </c>
      <c r="N173" s="17" t="s">
        <v>23</v>
      </c>
      <c r="O173" s="17" t="s">
        <v>24</v>
      </c>
    </row>
    <row r="174" customFormat="false" ht="15" hidden="false" customHeight="false" outlineLevel="0" collapsed="false">
      <c r="A174" s="28" t="s">
        <v>69</v>
      </c>
      <c r="B174" s="26" t="s">
        <v>366</v>
      </c>
      <c r="C174" s="26" t="s">
        <v>374</v>
      </c>
      <c r="D174" s="19" t="s">
        <v>19</v>
      </c>
      <c r="E174" s="26" t="s">
        <v>375</v>
      </c>
      <c r="F174" s="4" t="s">
        <v>369</v>
      </c>
      <c r="G174" s="20" t="s">
        <v>29</v>
      </c>
      <c r="H174" s="27" t="n">
        <v>0.416666666666667</v>
      </c>
      <c r="I174" s="27" t="n">
        <v>0.5</v>
      </c>
      <c r="J174" s="22" t="n">
        <v>39</v>
      </c>
      <c r="K174" s="29"/>
      <c r="L174" s="23" t="str">
        <f aca="false" t="array" ref="L174:L174">_xlfn.TEXTJOIN(", ",TRUE(),TEXT(H174+_xlfn.SEQUENCE(HOUR(I174-H174),1,0,1)/24,"hh:mm:ss") &amp; "-" &amp; TEXT(H174+_xlfn.SEQUENCE(HOUR(I174-H174),1,1,1)/24,"hh:mm:ss"))</f>
        <v>10:00:00-11:00:00, 11:00:00-12:00:00</v>
      </c>
      <c r="M174" s="1" t="str">
        <f aca="false">IF(F174="","Não alocada","Alocada")</f>
        <v>Alocada</v>
      </c>
      <c r="N174" s="17" t="s">
        <v>23</v>
      </c>
      <c r="O174" s="17" t="s">
        <v>24</v>
      </c>
    </row>
    <row r="175" customFormat="false" ht="15" hidden="false" customHeight="false" outlineLevel="0" collapsed="false">
      <c r="A175" s="28" t="s">
        <v>69</v>
      </c>
      <c r="B175" s="26" t="s">
        <v>366</v>
      </c>
      <c r="C175" s="26" t="s">
        <v>374</v>
      </c>
      <c r="D175" s="19" t="s">
        <v>73</v>
      </c>
      <c r="E175" s="26" t="s">
        <v>375</v>
      </c>
      <c r="F175" s="4" t="s">
        <v>369</v>
      </c>
      <c r="G175" s="20" t="s">
        <v>29</v>
      </c>
      <c r="H175" s="27" t="n">
        <v>0.666666666666667</v>
      </c>
      <c r="I175" s="27" t="n">
        <v>0.75</v>
      </c>
      <c r="J175" s="22" t="n">
        <v>39</v>
      </c>
      <c r="K175" s="29"/>
      <c r="L175" s="23" t="str">
        <f aca="false" t="array" ref="L175:L175">_xlfn.TEXTJOIN(", ",TRUE(),TEXT(H175+_xlfn.SEQUENCE(HOUR(I175-H175),1,0,1)/24,"hh:mm:ss") &amp; "-" &amp; TEXT(H175+_xlfn.SEQUENCE(HOUR(I175-H175),1,1,1)/24,"hh:mm:ss"))</f>
        <v>16:00:00-17:00:00, 17:00:00-18:00:00</v>
      </c>
      <c r="M175" s="1" t="str">
        <f aca="false">IF(F175="","Não alocada","Alocada")</f>
        <v>Alocada</v>
      </c>
      <c r="N175" s="17" t="s">
        <v>23</v>
      </c>
      <c r="O175" s="17" t="s">
        <v>24</v>
      </c>
    </row>
    <row r="176" customFormat="false" ht="15" hidden="false" customHeight="false" outlineLevel="0" collapsed="false">
      <c r="A176" s="28" t="s">
        <v>69</v>
      </c>
      <c r="B176" s="26" t="s">
        <v>366</v>
      </c>
      <c r="C176" s="26" t="s">
        <v>374</v>
      </c>
      <c r="D176" s="19" t="s">
        <v>19</v>
      </c>
      <c r="E176" s="26" t="s">
        <v>375</v>
      </c>
      <c r="F176" s="4" t="s">
        <v>369</v>
      </c>
      <c r="G176" s="20" t="s">
        <v>29</v>
      </c>
      <c r="H176" s="27" t="n">
        <v>0.416666666666667</v>
      </c>
      <c r="I176" s="27" t="n">
        <v>0.5</v>
      </c>
      <c r="J176" s="22" t="n">
        <v>39</v>
      </c>
      <c r="K176" s="29"/>
      <c r="L176" s="23" t="str">
        <f aca="false" t="array" ref="L176:L176">_xlfn.TEXTJOIN(", ",TRUE(),TEXT(H176+_xlfn.SEQUENCE(HOUR(I176-H176),1,0,1)/24,"hh:mm:ss") &amp; "-" &amp; TEXT(H176+_xlfn.SEQUENCE(HOUR(I176-H176),1,1,1)/24,"hh:mm:ss"))</f>
        <v>10:00:00-11:00:00, 11:00:00-12:00:00</v>
      </c>
      <c r="M176" s="1" t="str">
        <f aca="false">IF(F176="","Não alocada","Alocada")</f>
        <v>Alocada</v>
      </c>
      <c r="N176" s="17" t="s">
        <v>23</v>
      </c>
      <c r="O176" s="17" t="s">
        <v>24</v>
      </c>
    </row>
    <row r="177" customFormat="false" ht="15" hidden="false" customHeight="false" outlineLevel="0" collapsed="false">
      <c r="A177" s="28" t="s">
        <v>69</v>
      </c>
      <c r="B177" s="26" t="s">
        <v>376</v>
      </c>
      <c r="C177" s="26" t="s">
        <v>377</v>
      </c>
      <c r="D177" s="19" t="s">
        <v>19</v>
      </c>
      <c r="E177" s="26"/>
      <c r="F177" s="4" t="s">
        <v>369</v>
      </c>
      <c r="G177" s="20" t="s">
        <v>66</v>
      </c>
      <c r="H177" s="27" t="n">
        <v>0.416666666666667</v>
      </c>
      <c r="I177" s="27" t="n">
        <v>0.5</v>
      </c>
      <c r="J177" s="22" t="n">
        <v>42</v>
      </c>
      <c r="K177" s="29"/>
      <c r="L177" s="23" t="str">
        <f aca="false" t="array" ref="L177:L177">_xlfn.TEXTJOIN(", ",TRUE(),TEXT(H177+_xlfn.SEQUENCE(HOUR(I177-H177),1,0,1)/24,"hh:mm:ss") &amp; "-" &amp; TEXT(H177+_xlfn.SEQUENCE(HOUR(I177-H177),1,1,1)/24,"hh:mm:ss"))</f>
        <v>10:00:00-11:00:00, 11:00:00-12:00:00</v>
      </c>
      <c r="M177" s="1" t="str">
        <f aca="false">IF(F177="","Não alocada","Alocada")</f>
        <v>Alocada</v>
      </c>
      <c r="N177" s="17" t="s">
        <v>23</v>
      </c>
      <c r="O177" s="17" t="s">
        <v>24</v>
      </c>
    </row>
    <row r="178" customFormat="false" ht="15" hidden="false" customHeight="false" outlineLevel="0" collapsed="false">
      <c r="A178" s="18" t="s">
        <v>75</v>
      </c>
      <c r="B178" s="26" t="s">
        <v>376</v>
      </c>
      <c r="C178" s="26" t="s">
        <v>378</v>
      </c>
      <c r="D178" s="19" t="s">
        <v>76</v>
      </c>
      <c r="E178" s="26"/>
      <c r="F178" s="4" t="s">
        <v>369</v>
      </c>
      <c r="G178" s="20" t="s">
        <v>66</v>
      </c>
      <c r="H178" s="27" t="n">
        <v>0.416666666666667</v>
      </c>
      <c r="I178" s="27" t="n">
        <v>0.5</v>
      </c>
      <c r="J178" s="22" t="n">
        <v>42</v>
      </c>
      <c r="K178" s="29"/>
      <c r="L178" s="23" t="str">
        <f aca="false" t="array" ref="L178:L178">_xlfn.TEXTJOIN(", ",TRUE(),TEXT(H178+_xlfn.SEQUENCE(HOUR(I178-H178),1,0,1)/24,"hh:mm:ss") &amp; "-" &amp; TEXT(H178+_xlfn.SEQUENCE(HOUR(I178-H178),1,1,1)/24,"hh:mm:ss"))</f>
        <v>10:00:00-11:00:00, 11:00:00-12:00:00</v>
      </c>
      <c r="M178" s="1" t="str">
        <f aca="false">IF(F178="","Não alocada","Alocada")</f>
        <v>Alocada</v>
      </c>
      <c r="N178" s="17" t="s">
        <v>23</v>
      </c>
      <c r="O178" s="17" t="s">
        <v>24</v>
      </c>
    </row>
    <row r="179" customFormat="false" ht="15" hidden="false" customHeight="false" outlineLevel="0" collapsed="false">
      <c r="A179" s="18" t="s">
        <v>82</v>
      </c>
      <c r="B179" s="26" t="s">
        <v>379</v>
      </c>
      <c r="C179" s="26" t="s">
        <v>380</v>
      </c>
      <c r="D179" s="19" t="s">
        <v>19</v>
      </c>
      <c r="E179" s="26" t="s">
        <v>358</v>
      </c>
      <c r="F179" s="4" t="s">
        <v>369</v>
      </c>
      <c r="G179" s="20" t="s">
        <v>257</v>
      </c>
      <c r="H179" s="27" t="n">
        <v>0.583333333333333</v>
      </c>
      <c r="I179" s="27" t="n">
        <v>0.75</v>
      </c>
      <c r="J179" s="22" t="n">
        <v>30</v>
      </c>
      <c r="K179" s="29"/>
      <c r="L179" s="23" t="str">
        <f aca="false" t="array" ref="L179:L179">_xlfn.TEXTJOIN(", ",TRUE(),TEXT(H179+_xlfn.SEQUENCE(HOUR(I179-H179),1,0,1)/24,"hh:mm:ss") &amp; "-" &amp; TEXT(H179+_xlfn.SEQUENCE(HOUR(I179-H179),1,1,1)/24,"hh:mm:ss"))</f>
        <v>14:00:00-15:00:00, 15:00:00-16:00:00, 16:00:00-17:00:00, 17:00:00-18:00:00</v>
      </c>
      <c r="M179" s="1" t="str">
        <f aca="false">IF(F179="","Não alocada","Alocada")</f>
        <v>Alocada</v>
      </c>
      <c r="N179" s="17" t="s">
        <v>23</v>
      </c>
      <c r="O179" s="17" t="s">
        <v>24</v>
      </c>
    </row>
    <row r="180" customFormat="false" ht="15" hidden="false" customHeight="false" outlineLevel="0" collapsed="false">
      <c r="A180" s="18" t="s">
        <v>82</v>
      </c>
      <c r="B180" s="26" t="s">
        <v>366</v>
      </c>
      <c r="C180" s="30" t="s">
        <v>381</v>
      </c>
      <c r="D180" s="19" t="s">
        <v>19</v>
      </c>
      <c r="E180" s="30" t="s">
        <v>382</v>
      </c>
      <c r="F180" s="4" t="s">
        <v>369</v>
      </c>
      <c r="G180" s="20" t="s">
        <v>29</v>
      </c>
      <c r="H180" s="27" t="n">
        <v>0.416666666666667</v>
      </c>
      <c r="I180" s="27" t="n">
        <v>0.5</v>
      </c>
      <c r="J180" s="22" t="n">
        <v>39</v>
      </c>
      <c r="K180" s="29"/>
      <c r="L180" s="23" t="str">
        <f aca="false" t="array" ref="L180:L180">_xlfn.TEXTJOIN(", ",TRUE(),TEXT(H180+_xlfn.SEQUENCE(HOUR(I180-H180),1,0,1)/24,"hh:mm:ss") &amp; "-" &amp; TEXT(H180+_xlfn.SEQUENCE(HOUR(I180-H180),1,1,1)/24,"hh:mm:ss"))</f>
        <v>10:00:00-11:00:00, 11:00:00-12:00:00</v>
      </c>
      <c r="M180" s="1" t="str">
        <f aca="false">IF(F180="","Não alocada","Alocada")</f>
        <v>Alocada</v>
      </c>
      <c r="N180" s="17" t="s">
        <v>23</v>
      </c>
      <c r="O180" s="17" t="s">
        <v>24</v>
      </c>
    </row>
    <row r="181" customFormat="false" ht="15" hidden="false" customHeight="false" outlineLevel="0" collapsed="false">
      <c r="A181" s="18" t="s">
        <v>82</v>
      </c>
      <c r="B181" s="26" t="s">
        <v>376</v>
      </c>
      <c r="C181" s="26" t="s">
        <v>377</v>
      </c>
      <c r="D181" s="19" t="s">
        <v>19</v>
      </c>
      <c r="E181" s="26" t="s">
        <v>79</v>
      </c>
      <c r="F181" s="4" t="s">
        <v>369</v>
      </c>
      <c r="G181" s="20" t="s">
        <v>66</v>
      </c>
      <c r="H181" s="27" t="n">
        <v>0.416666666666667</v>
      </c>
      <c r="I181" s="27" t="n">
        <v>0.5</v>
      </c>
      <c r="J181" s="22" t="n">
        <v>42</v>
      </c>
      <c r="K181" s="29"/>
      <c r="L181" s="23" t="str">
        <f aca="false" t="array" ref="L181:L181">_xlfn.TEXTJOIN(", ",TRUE(),TEXT(H181+_xlfn.SEQUENCE(HOUR(I181-H181),1,0,1)/24,"hh:mm:ss") &amp; "-" &amp; TEXT(H181+_xlfn.SEQUENCE(HOUR(I181-H181),1,1,1)/24,"hh:mm:ss"))</f>
        <v>10:00:00-11:00:00, 11:00:00-12:00:00</v>
      </c>
      <c r="M181" s="1" t="str">
        <f aca="false">IF(F181="","Não alocada","Alocada")</f>
        <v>Alocada</v>
      </c>
      <c r="N181" s="17" t="s">
        <v>23</v>
      </c>
      <c r="O181" s="17" t="s">
        <v>24</v>
      </c>
    </row>
    <row r="182" customFormat="false" ht="15" hidden="false" customHeight="false" outlineLevel="0" collapsed="false">
      <c r="A182" s="18" t="s">
        <v>83</v>
      </c>
      <c r="B182" s="26" t="s">
        <v>383</v>
      </c>
      <c r="C182" s="26" t="s">
        <v>384</v>
      </c>
      <c r="D182" s="19" t="s">
        <v>76</v>
      </c>
      <c r="E182" s="26"/>
      <c r="F182" s="4" t="s">
        <v>369</v>
      </c>
      <c r="G182" s="20" t="s">
        <v>117</v>
      </c>
      <c r="H182" s="27" t="n">
        <v>0.583333333333333</v>
      </c>
      <c r="I182" s="27" t="n">
        <v>0.666666666666667</v>
      </c>
      <c r="J182" s="22" t="n">
        <v>30</v>
      </c>
      <c r="K182" s="29"/>
      <c r="L182" s="23" t="str">
        <f aca="false" t="array" ref="L182:L182">_xlfn.TEXTJOIN(", ",TRUE(),TEXT(H182+_xlfn.SEQUENCE(HOUR(I182-H182),1,0,1)/24,"hh:mm:ss") &amp; "-" &amp; TEXT(H182+_xlfn.SEQUENCE(HOUR(I182-H182),1,1,1)/24,"hh:mm:ss"))</f>
        <v>14:00:00-15:00:00, 15:00:00-16:00:00</v>
      </c>
      <c r="M182" s="1" t="str">
        <f aca="false">IF(F182="","Não alocada","Alocada")</f>
        <v>Alocada</v>
      </c>
      <c r="N182" s="17" t="s">
        <v>23</v>
      </c>
      <c r="O182" s="17" t="s">
        <v>24</v>
      </c>
    </row>
    <row r="183" customFormat="false" ht="15" hidden="false" customHeight="false" outlineLevel="0" collapsed="false">
      <c r="A183" s="18" t="s">
        <v>35</v>
      </c>
      <c r="B183" s="24" t="s">
        <v>385</v>
      </c>
      <c r="C183" s="24" t="s">
        <v>386</v>
      </c>
      <c r="D183" s="19" t="s">
        <v>19</v>
      </c>
      <c r="E183" s="24" t="s">
        <v>208</v>
      </c>
      <c r="F183" s="4" t="s">
        <v>387</v>
      </c>
      <c r="G183" s="35" t="s">
        <v>56</v>
      </c>
      <c r="H183" s="46" t="n">
        <v>0.416666666666667</v>
      </c>
      <c r="I183" s="46" t="n">
        <v>0.5</v>
      </c>
      <c r="J183" s="22" t="n">
        <v>36</v>
      </c>
      <c r="K183" s="37" t="s">
        <v>56</v>
      </c>
      <c r="L183" s="23" t="str">
        <f aca="false" t="array" ref="L183:L183">_xlfn.TEXTJOIN(", ",TRUE(),TEXT(H183+_xlfn.SEQUENCE(HOUR(I183-H183),1,0,1)/24,"hh:mm:ss") &amp; "-" &amp; TEXT(H183+_xlfn.SEQUENCE(HOUR(I183-H183),1,1,1)/24,"hh:mm:ss"))</f>
        <v>10:00:00-11:00:00, 11:00:00-12:00:00</v>
      </c>
      <c r="M183" s="1" t="str">
        <f aca="false">IF(F183="","Não alocada","Alocada")</f>
        <v>Alocada</v>
      </c>
      <c r="N183" s="17" t="s">
        <v>23</v>
      </c>
      <c r="O183" s="17" t="s">
        <v>24</v>
      </c>
    </row>
    <row r="184" customFormat="false" ht="15" hidden="false" customHeight="false" outlineLevel="0" collapsed="false">
      <c r="A184" s="18" t="s">
        <v>35</v>
      </c>
      <c r="B184" s="24" t="s">
        <v>385</v>
      </c>
      <c r="C184" s="24" t="s">
        <v>386</v>
      </c>
      <c r="D184" s="19" t="s">
        <v>19</v>
      </c>
      <c r="E184" s="24" t="s">
        <v>208</v>
      </c>
      <c r="F184" s="4" t="s">
        <v>387</v>
      </c>
      <c r="G184" s="35" t="s">
        <v>66</v>
      </c>
      <c r="H184" s="46" t="n">
        <v>0.333333333333333</v>
      </c>
      <c r="I184" s="46" t="n">
        <v>0.416666666666667</v>
      </c>
      <c r="J184" s="22" t="n">
        <v>36</v>
      </c>
      <c r="K184" s="37" t="s">
        <v>66</v>
      </c>
      <c r="L184" s="23" t="str">
        <f aca="false" t="array" ref="L184:L184">_xlfn.TEXTJOIN(", ",TRUE(),TEXT(H184+_xlfn.SEQUENCE(HOUR(I184-H184),1,0,1)/24,"hh:mm:ss") &amp; "-" &amp; TEXT(H184+_xlfn.SEQUENCE(HOUR(I184-H184),1,1,1)/24,"hh:mm:ss"))</f>
        <v>08:00:00-09:00:00, 09:00:00-10:00:00</v>
      </c>
      <c r="M184" s="1" t="str">
        <f aca="false">IF(F184="","Não alocada","Alocada")</f>
        <v>Alocada</v>
      </c>
      <c r="N184" s="17" t="s">
        <v>23</v>
      </c>
      <c r="O184" s="17" t="s">
        <v>24</v>
      </c>
    </row>
    <row r="185" customFormat="false" ht="15" hidden="false" customHeight="false" outlineLevel="0" collapsed="false">
      <c r="A185" s="18" t="s">
        <v>35</v>
      </c>
      <c r="B185" s="24" t="s">
        <v>388</v>
      </c>
      <c r="C185" s="24" t="s">
        <v>134</v>
      </c>
      <c r="D185" s="19" t="s">
        <v>389</v>
      </c>
      <c r="E185" s="24" t="s">
        <v>390</v>
      </c>
      <c r="F185" s="4" t="s">
        <v>387</v>
      </c>
      <c r="G185" s="20" t="s">
        <v>43</v>
      </c>
      <c r="H185" s="25" t="n">
        <v>0.416666666666667</v>
      </c>
      <c r="I185" s="25" t="n">
        <v>0.5</v>
      </c>
      <c r="J185" s="22" t="n">
        <v>23</v>
      </c>
      <c r="K185" s="19" t="s">
        <v>43</v>
      </c>
      <c r="L185" s="23" t="str">
        <f aca="false" t="array" ref="L185:L185">_xlfn.TEXTJOIN(", ",TRUE(),TEXT(H185+_xlfn.SEQUENCE(HOUR(I185-H185),1,0,1)/24,"hh:mm:ss") &amp; "-" &amp; TEXT(H185+_xlfn.SEQUENCE(HOUR(I185-H185),1,1,1)/24,"hh:mm:ss"))</f>
        <v>10:00:00-11:00:00, 11:00:00-12:00:00</v>
      </c>
      <c r="M185" s="1" t="str">
        <f aca="false">IF(F185="","Não alocada","Alocada")</f>
        <v>Alocada</v>
      </c>
      <c r="N185" s="17" t="s">
        <v>23</v>
      </c>
      <c r="O185" s="17" t="s">
        <v>24</v>
      </c>
    </row>
    <row r="186" customFormat="false" ht="15" hidden="false" customHeight="false" outlineLevel="0" collapsed="false">
      <c r="A186" s="28" t="s">
        <v>69</v>
      </c>
      <c r="B186" s="26" t="s">
        <v>391</v>
      </c>
      <c r="C186" s="26" t="s">
        <v>392</v>
      </c>
      <c r="D186" s="19" t="s">
        <v>73</v>
      </c>
      <c r="E186" s="26" t="s">
        <v>393</v>
      </c>
      <c r="F186" s="4" t="s">
        <v>387</v>
      </c>
      <c r="G186" s="20" t="s">
        <v>34</v>
      </c>
      <c r="H186" s="27" t="n">
        <v>0.583333333333333</v>
      </c>
      <c r="I186" s="27" t="n">
        <v>0.666666666666667</v>
      </c>
      <c r="J186" s="22" t="n">
        <v>15</v>
      </c>
      <c r="K186" s="29"/>
      <c r="L186" s="23" t="str">
        <f aca="false" t="array" ref="L186:L186">_xlfn.TEXTJOIN(", ",TRUE(),TEXT(H186+_xlfn.SEQUENCE(HOUR(I186-H186),1,0,1)/24,"hh:mm:ss") &amp; "-" &amp; TEXT(H186+_xlfn.SEQUENCE(HOUR(I186-H186),1,1,1)/24,"hh:mm:ss"))</f>
        <v>14:00:00-15:00:00, 15:00:00-16:00:00</v>
      </c>
      <c r="M186" s="1" t="str">
        <f aca="false">IF(F186="","Não alocada","Alocada")</f>
        <v>Alocada</v>
      </c>
      <c r="N186" s="17" t="s">
        <v>23</v>
      </c>
      <c r="O186" s="17" t="s">
        <v>24</v>
      </c>
    </row>
    <row r="187" customFormat="false" ht="15" hidden="false" customHeight="false" outlineLevel="0" collapsed="false">
      <c r="A187" s="28" t="s">
        <v>69</v>
      </c>
      <c r="B187" s="26" t="s">
        <v>394</v>
      </c>
      <c r="C187" s="26" t="s">
        <v>395</v>
      </c>
      <c r="D187" s="19" t="s">
        <v>27</v>
      </c>
      <c r="E187" s="26" t="s">
        <v>393</v>
      </c>
      <c r="F187" s="4" t="s">
        <v>387</v>
      </c>
      <c r="G187" s="20" t="s">
        <v>34</v>
      </c>
      <c r="H187" s="27" t="n">
        <v>0.583333333333333</v>
      </c>
      <c r="I187" s="27" t="n">
        <v>0.666666666666667</v>
      </c>
      <c r="J187" s="22" t="n">
        <v>27</v>
      </c>
      <c r="K187" s="29"/>
      <c r="L187" s="23" t="str">
        <f aca="false" t="array" ref="L187:L187">_xlfn.TEXTJOIN(", ",TRUE(),TEXT(H187+_xlfn.SEQUENCE(HOUR(I187-H187),1,0,1)/24,"hh:mm:ss") &amp; "-" &amp; TEXT(H187+_xlfn.SEQUENCE(HOUR(I187-H187),1,1,1)/24,"hh:mm:ss"))</f>
        <v>14:00:00-15:00:00, 15:00:00-16:00:00</v>
      </c>
      <c r="M187" s="1" t="str">
        <f aca="false">IF(F187="","Não alocada","Alocada")</f>
        <v>Alocada</v>
      </c>
      <c r="N187" s="17" t="s">
        <v>23</v>
      </c>
      <c r="O187" s="17" t="s">
        <v>24</v>
      </c>
    </row>
    <row r="188" customFormat="false" ht="15" hidden="false" customHeight="false" outlineLevel="0" collapsed="false">
      <c r="A188" s="18" t="s">
        <v>82</v>
      </c>
      <c r="B188" s="30" t="s">
        <v>391</v>
      </c>
      <c r="C188" s="30" t="s">
        <v>396</v>
      </c>
      <c r="D188" s="19" t="s">
        <v>19</v>
      </c>
      <c r="E188" s="26" t="s">
        <v>393</v>
      </c>
      <c r="F188" s="4" t="s">
        <v>387</v>
      </c>
      <c r="G188" s="20" t="s">
        <v>34</v>
      </c>
      <c r="H188" s="27" t="n">
        <v>0.333333333333333</v>
      </c>
      <c r="I188" s="27" t="n">
        <v>0.416666666666667</v>
      </c>
      <c r="J188" s="22" t="n">
        <v>15</v>
      </c>
      <c r="K188" s="29"/>
      <c r="L188" s="23" t="str">
        <f aca="false" t="array" ref="L188:L188">_xlfn.TEXTJOIN(", ",TRUE(),TEXT(H188+_xlfn.SEQUENCE(HOUR(I188-H188),1,0,1)/24,"hh:mm:ss") &amp; "-" &amp; TEXT(H188+_xlfn.SEQUENCE(HOUR(I188-H188),1,1,1)/24,"hh:mm:ss"))</f>
        <v>08:00:00-09:00:00, 09:00:00-10:00:00</v>
      </c>
      <c r="M188" s="1" t="str">
        <f aca="false">IF(F188="","Não alocada","Alocada")</f>
        <v>Alocada</v>
      </c>
      <c r="N188" s="17" t="s">
        <v>23</v>
      </c>
      <c r="O188" s="17" t="s">
        <v>24</v>
      </c>
    </row>
    <row r="189" customFormat="false" ht="15" hidden="false" customHeight="false" outlineLevel="0" collapsed="false">
      <c r="A189" s="18" t="s">
        <v>82</v>
      </c>
      <c r="B189" s="26" t="s">
        <v>391</v>
      </c>
      <c r="C189" s="30" t="s">
        <v>396</v>
      </c>
      <c r="D189" s="19" t="s">
        <v>73</v>
      </c>
      <c r="E189" s="26" t="s">
        <v>393</v>
      </c>
      <c r="F189" s="4" t="s">
        <v>387</v>
      </c>
      <c r="G189" s="20" t="s">
        <v>34</v>
      </c>
      <c r="H189" s="27" t="n">
        <v>0.583333333333333</v>
      </c>
      <c r="I189" s="27" t="n">
        <v>0.666666666666667</v>
      </c>
      <c r="J189" s="22" t="n">
        <v>15</v>
      </c>
      <c r="K189" s="29"/>
      <c r="L189" s="23" t="str">
        <f aca="false" t="array" ref="L189:L189">_xlfn.TEXTJOIN(", ",TRUE(),TEXT(H189+_xlfn.SEQUENCE(HOUR(I189-H189),1,0,1)/24,"hh:mm:ss") &amp; "-" &amp; TEXT(H189+_xlfn.SEQUENCE(HOUR(I189-H189),1,1,1)/24,"hh:mm:ss"))</f>
        <v>14:00:00-15:00:00, 15:00:00-16:00:00</v>
      </c>
      <c r="M189" s="1" t="str">
        <f aca="false">IF(F189="","Não alocada","Alocada")</f>
        <v>Alocada</v>
      </c>
      <c r="N189" s="17" t="s">
        <v>23</v>
      </c>
      <c r="O189" s="17" t="s">
        <v>24</v>
      </c>
    </row>
    <row r="190" customFormat="false" ht="15" hidden="false" customHeight="false" outlineLevel="0" collapsed="false">
      <c r="A190" s="18" t="s">
        <v>92</v>
      </c>
      <c r="B190" s="32" t="s">
        <v>397</v>
      </c>
      <c r="C190" s="32" t="s">
        <v>398</v>
      </c>
      <c r="D190" s="19" t="s">
        <v>19</v>
      </c>
      <c r="E190" s="32" t="s">
        <v>399</v>
      </c>
      <c r="F190" s="4" t="s">
        <v>387</v>
      </c>
      <c r="G190" s="20" t="s">
        <v>22</v>
      </c>
      <c r="H190" s="33" t="n">
        <v>0.333333333333333</v>
      </c>
      <c r="I190" s="33" t="n">
        <v>0.416666666666667</v>
      </c>
      <c r="J190" s="22" t="n">
        <v>40</v>
      </c>
      <c r="K190" s="29"/>
      <c r="L190" s="23" t="str">
        <f aca="false" t="array" ref="L190:L190">_xlfn.TEXTJOIN(", ",TRUE(),TEXT(H190+_xlfn.SEQUENCE(HOUR(I190-H190),1,0,1)/24,"hh:mm:ss") &amp; "-" &amp; TEXT(H190+_xlfn.SEQUENCE(HOUR(I190-H190),1,1,1)/24,"hh:mm:ss"))</f>
        <v>08:00:00-09:00:00, 09:00:00-10:00:00</v>
      </c>
      <c r="M190" s="1" t="str">
        <f aca="false">IF(F190="","Não alocada","Alocada")</f>
        <v>Alocada</v>
      </c>
      <c r="N190" s="17" t="s">
        <v>23</v>
      </c>
      <c r="O190" s="17" t="s">
        <v>24</v>
      </c>
    </row>
    <row r="191" customFormat="false" ht="15" hidden="false" customHeight="false" outlineLevel="0" collapsed="false">
      <c r="A191" s="18" t="s">
        <v>35</v>
      </c>
      <c r="B191" s="24" t="s">
        <v>400</v>
      </c>
      <c r="C191" s="24" t="s">
        <v>401</v>
      </c>
      <c r="D191" s="19" t="s">
        <v>73</v>
      </c>
      <c r="E191" s="24"/>
      <c r="F191" s="4" t="s">
        <v>402</v>
      </c>
      <c r="G191" s="20" t="s">
        <v>45</v>
      </c>
      <c r="H191" s="25" t="n">
        <v>0.416666666666667</v>
      </c>
      <c r="I191" s="25" t="n">
        <v>0.5</v>
      </c>
      <c r="J191" s="22" t="n">
        <v>28</v>
      </c>
      <c r="K191" s="19" t="s">
        <v>45</v>
      </c>
      <c r="L191" s="23" t="str">
        <f aca="false" t="array" ref="L191:L191">_xlfn.TEXTJOIN(", ",TRUE(),TEXT(H191+_xlfn.SEQUENCE(HOUR(I191-H191),1,0,1)/24,"hh:mm:ss") &amp; "-" &amp; TEXT(H191+_xlfn.SEQUENCE(HOUR(I191-H191),1,1,1)/24,"hh:mm:ss"))</f>
        <v>10:00:00-11:00:00, 11:00:00-12:00:00</v>
      </c>
      <c r="M191" s="1" t="str">
        <f aca="false">IF(F191="","Não alocada","Alocada")</f>
        <v>Alocada</v>
      </c>
      <c r="N191" s="17" t="s">
        <v>23</v>
      </c>
      <c r="O191" s="17" t="s">
        <v>24</v>
      </c>
    </row>
    <row r="192" customFormat="false" ht="15" hidden="false" customHeight="false" outlineLevel="0" collapsed="false">
      <c r="A192" s="28" t="s">
        <v>69</v>
      </c>
      <c r="B192" s="26" t="s">
        <v>403</v>
      </c>
      <c r="C192" s="26" t="s">
        <v>404</v>
      </c>
      <c r="D192" s="19" t="s">
        <v>27</v>
      </c>
      <c r="E192" s="26" t="s">
        <v>405</v>
      </c>
      <c r="F192" s="4" t="s">
        <v>402</v>
      </c>
      <c r="G192" s="20" t="s">
        <v>56</v>
      </c>
      <c r="H192" s="27" t="n">
        <v>0.583333333333333</v>
      </c>
      <c r="I192" s="27" t="n">
        <v>0.666666666666667</v>
      </c>
      <c r="J192" s="22" t="n">
        <v>34</v>
      </c>
      <c r="K192" s="29"/>
      <c r="L192" s="23" t="str">
        <f aca="false" t="array" ref="L192:L192">_xlfn.TEXTJOIN(", ",TRUE(),TEXT(H192+_xlfn.SEQUENCE(HOUR(I192-H192),1,0,1)/24,"hh:mm:ss") &amp; "-" &amp; TEXT(H192+_xlfn.SEQUENCE(HOUR(I192-H192),1,1,1)/24,"hh:mm:ss"))</f>
        <v>14:00:00-15:00:00, 15:00:00-16:00:00</v>
      </c>
      <c r="M192" s="1" t="str">
        <f aca="false">IF(F192="","Não alocada","Alocada")</f>
        <v>Alocada</v>
      </c>
      <c r="N192" s="17" t="s">
        <v>23</v>
      </c>
      <c r="O192" s="17" t="s">
        <v>24</v>
      </c>
    </row>
    <row r="193" customFormat="false" ht="15" hidden="false" customHeight="false" outlineLevel="0" collapsed="false">
      <c r="A193" s="18" t="s">
        <v>75</v>
      </c>
      <c r="B193" s="26" t="s">
        <v>400</v>
      </c>
      <c r="C193" s="26" t="s">
        <v>401</v>
      </c>
      <c r="D193" s="19" t="s">
        <v>76</v>
      </c>
      <c r="E193" s="26" t="s">
        <v>139</v>
      </c>
      <c r="F193" s="4" t="s">
        <v>402</v>
      </c>
      <c r="G193" s="20" t="s">
        <v>66</v>
      </c>
      <c r="H193" s="27" t="n">
        <v>0.416666666666667</v>
      </c>
      <c r="I193" s="27" t="n">
        <v>0.5</v>
      </c>
      <c r="J193" s="22" t="n">
        <v>28</v>
      </c>
      <c r="K193" s="29"/>
      <c r="L193" s="23" t="str">
        <f aca="false" t="array" ref="L193:L193">_xlfn.TEXTJOIN(", ",TRUE(),TEXT(H193+_xlfn.SEQUENCE(HOUR(I193-H193),1,0,1)/24,"hh:mm:ss") &amp; "-" &amp; TEXT(H193+_xlfn.SEQUENCE(HOUR(I193-H193),1,1,1)/24,"hh:mm:ss"))</f>
        <v>10:00:00-11:00:00, 11:00:00-12:00:00</v>
      </c>
      <c r="M193" s="1" t="str">
        <f aca="false">IF(F193="","Não alocada","Alocada")</f>
        <v>Alocada</v>
      </c>
      <c r="N193" s="17" t="s">
        <v>23</v>
      </c>
      <c r="O193" s="17" t="s">
        <v>24</v>
      </c>
    </row>
    <row r="194" customFormat="false" ht="15" hidden="false" customHeight="false" outlineLevel="0" collapsed="false">
      <c r="A194" s="18" t="s">
        <v>75</v>
      </c>
      <c r="B194" s="26" t="s">
        <v>400</v>
      </c>
      <c r="C194" s="26" t="s">
        <v>406</v>
      </c>
      <c r="D194" s="19" t="s">
        <v>76</v>
      </c>
      <c r="E194" s="26" t="s">
        <v>220</v>
      </c>
      <c r="F194" s="4" t="s">
        <v>402</v>
      </c>
      <c r="G194" s="20" t="s">
        <v>45</v>
      </c>
      <c r="H194" s="27" t="n">
        <v>0.416666666666667</v>
      </c>
      <c r="I194" s="27" t="n">
        <v>0.5</v>
      </c>
      <c r="J194" s="22" t="n">
        <v>28</v>
      </c>
      <c r="K194" s="29"/>
      <c r="L194" s="23" t="str">
        <f aca="false" t="array" ref="L194:L194">_xlfn.TEXTJOIN(", ",TRUE(),TEXT(H194+_xlfn.SEQUENCE(HOUR(I194-H194),1,0,1)/24,"hh:mm:ss") &amp; "-" &amp; TEXT(H194+_xlfn.SEQUENCE(HOUR(I194-H194),1,1,1)/24,"hh:mm:ss"))</f>
        <v>10:00:00-11:00:00, 11:00:00-12:00:00</v>
      </c>
      <c r="M194" s="1" t="str">
        <f aca="false">IF(F194="","Não alocada","Alocada")</f>
        <v>Alocada</v>
      </c>
      <c r="N194" s="17" t="s">
        <v>23</v>
      </c>
      <c r="O194" s="17" t="s">
        <v>24</v>
      </c>
    </row>
    <row r="195" customFormat="false" ht="15" hidden="false" customHeight="false" outlineLevel="0" collapsed="false">
      <c r="A195" s="18" t="s">
        <v>90</v>
      </c>
      <c r="B195" s="31" t="s">
        <v>407</v>
      </c>
      <c r="C195" s="31" t="s">
        <v>408</v>
      </c>
      <c r="D195" s="19" t="s">
        <v>19</v>
      </c>
      <c r="E195" s="31" t="s">
        <v>409</v>
      </c>
      <c r="F195" s="4" t="s">
        <v>402</v>
      </c>
      <c r="G195" s="35" t="s">
        <v>45</v>
      </c>
      <c r="H195" s="36" t="n">
        <v>0.333333333333333</v>
      </c>
      <c r="I195" s="36" t="n">
        <v>0.416666666666667</v>
      </c>
      <c r="J195" s="22" t="n">
        <v>14</v>
      </c>
      <c r="K195" s="37" t="s">
        <v>45</v>
      </c>
      <c r="L195" s="23" t="str">
        <f aca="false" t="array" ref="L195:L195">_xlfn.TEXTJOIN(", ",TRUE(),TEXT(H195+_xlfn.SEQUENCE(HOUR(I195-H195),1,0,1)/24,"hh:mm:ss") &amp; "-" &amp; TEXT(H195+_xlfn.SEQUENCE(HOUR(I195-H195),1,1,1)/24,"hh:mm:ss"))</f>
        <v>08:00:00-09:00:00, 09:00:00-10:00:00</v>
      </c>
      <c r="M195" s="1" t="str">
        <f aca="false">IF(F195="","Não alocada","Alocada")</f>
        <v>Alocada</v>
      </c>
      <c r="N195" s="17" t="s">
        <v>23</v>
      </c>
      <c r="O195" s="17" t="s">
        <v>24</v>
      </c>
    </row>
    <row r="196" customFormat="false" ht="15" hidden="false" customHeight="false" outlineLevel="0" collapsed="false">
      <c r="A196" s="18" t="s">
        <v>90</v>
      </c>
      <c r="B196" s="31" t="s">
        <v>407</v>
      </c>
      <c r="C196" s="31" t="s">
        <v>408</v>
      </c>
      <c r="D196" s="19" t="s">
        <v>19</v>
      </c>
      <c r="E196" s="31" t="s">
        <v>409</v>
      </c>
      <c r="F196" s="4" t="s">
        <v>402</v>
      </c>
      <c r="G196" s="35" t="s">
        <v>257</v>
      </c>
      <c r="H196" s="36" t="n">
        <v>0.291666666666667</v>
      </c>
      <c r="I196" s="36" t="n">
        <v>0.416666666666667</v>
      </c>
      <c r="J196" s="22" t="n">
        <v>14</v>
      </c>
      <c r="K196" s="37" t="s">
        <v>257</v>
      </c>
      <c r="L196" s="23" t="str">
        <f aca="false" t="array" ref="L196:L196">_xlfn.TEXTJOIN(", ",TRUE(),TEXT(H196+_xlfn.SEQUENCE(HOUR(I196-H196),1,0,1)/24,"hh:mm:ss") &amp; "-" &amp; TEXT(H196+_xlfn.SEQUENCE(HOUR(I196-H196),1,1,1)/24,"hh:mm:ss"))</f>
        <v>07:00:00-08:00:00, 08:00:00-09:00:00, 09:00:00-10:00:00</v>
      </c>
      <c r="M196" s="1" t="str">
        <f aca="false">IF(F196="","Não alocada","Alocada")</f>
        <v>Alocada</v>
      </c>
      <c r="N196" s="17" t="s">
        <v>23</v>
      </c>
      <c r="O196" s="17" t="s">
        <v>24</v>
      </c>
    </row>
    <row r="197" customFormat="false" ht="15" hidden="false" customHeight="false" outlineLevel="0" collapsed="false">
      <c r="A197" s="18" t="s">
        <v>90</v>
      </c>
      <c r="B197" s="31" t="s">
        <v>410</v>
      </c>
      <c r="C197" s="31" t="s">
        <v>411</v>
      </c>
      <c r="D197" s="19" t="s">
        <v>19</v>
      </c>
      <c r="E197" s="31" t="s">
        <v>409</v>
      </c>
      <c r="F197" s="4" t="s">
        <v>402</v>
      </c>
      <c r="G197" s="20" t="s">
        <v>56</v>
      </c>
      <c r="H197" s="27" t="n">
        <v>0.291666666666667</v>
      </c>
      <c r="I197" s="27" t="n">
        <v>0.416666666666667</v>
      </c>
      <c r="J197" s="22" t="n">
        <v>11</v>
      </c>
      <c r="K197" s="29"/>
      <c r="L197" s="23" t="str">
        <f aca="false" t="array" ref="L197:L197">_xlfn.TEXTJOIN(", ",TRUE(),TEXT(H197+_xlfn.SEQUENCE(HOUR(I197-H197),1,0,1)/24,"hh:mm:ss") &amp; "-" &amp; TEXT(H197+_xlfn.SEQUENCE(HOUR(I197-H197),1,1,1)/24,"hh:mm:ss"))</f>
        <v>07:00:00-08:00:00, 08:00:00-09:00:00, 09:00:00-10:00:00</v>
      </c>
      <c r="M197" s="1" t="str">
        <f aca="false">IF(F197="","Não alocada","Alocada")</f>
        <v>Alocada</v>
      </c>
      <c r="N197" s="17" t="s">
        <v>23</v>
      </c>
      <c r="O197" s="17" t="s">
        <v>24</v>
      </c>
    </row>
    <row r="198" customFormat="false" ht="15" hidden="false" customHeight="false" outlineLevel="0" collapsed="false">
      <c r="A198" s="18" t="s">
        <v>90</v>
      </c>
      <c r="B198" s="31" t="s">
        <v>412</v>
      </c>
      <c r="C198" s="31" t="s">
        <v>413</v>
      </c>
      <c r="D198" s="19" t="s">
        <v>57</v>
      </c>
      <c r="E198" s="31" t="s">
        <v>414</v>
      </c>
      <c r="F198" s="4" t="s">
        <v>402</v>
      </c>
      <c r="G198" s="20" t="s">
        <v>43</v>
      </c>
      <c r="H198" s="27" t="n">
        <v>0.333333333333333</v>
      </c>
      <c r="I198" s="27" t="n">
        <v>0.416666666666667</v>
      </c>
      <c r="J198" s="22" t="n">
        <v>23</v>
      </c>
      <c r="K198" s="29"/>
      <c r="L198" s="23" t="str">
        <f aca="false" t="array" ref="L198:L198">_xlfn.TEXTJOIN(", ",TRUE(),TEXT(H198+_xlfn.SEQUENCE(HOUR(I198-H198),1,0,1)/24,"hh:mm:ss") &amp; "-" &amp; TEXT(H198+_xlfn.SEQUENCE(HOUR(I198-H198),1,1,1)/24,"hh:mm:ss"))</f>
        <v>08:00:00-09:00:00, 09:00:00-10:00:00</v>
      </c>
      <c r="M198" s="1" t="str">
        <f aca="false">IF(F198="","Não alocada","Alocada")</f>
        <v>Alocada</v>
      </c>
      <c r="N198" s="17" t="s">
        <v>23</v>
      </c>
      <c r="O198" s="17" t="s">
        <v>24</v>
      </c>
    </row>
    <row r="199" customFormat="false" ht="15" hidden="false" customHeight="false" outlineLevel="0" collapsed="false">
      <c r="A199" s="18" t="s">
        <v>90</v>
      </c>
      <c r="B199" s="31" t="s">
        <v>415</v>
      </c>
      <c r="C199" s="31" t="s">
        <v>416</v>
      </c>
      <c r="D199" s="19" t="s">
        <v>27</v>
      </c>
      <c r="E199" s="31" t="s">
        <v>361</v>
      </c>
      <c r="F199" s="4" t="s">
        <v>402</v>
      </c>
      <c r="G199" s="20" t="s">
        <v>34</v>
      </c>
      <c r="H199" s="27" t="n">
        <v>0.416666666666667</v>
      </c>
      <c r="I199" s="27" t="n">
        <v>0.5</v>
      </c>
      <c r="J199" s="22" t="n">
        <v>10</v>
      </c>
      <c r="K199" s="29"/>
      <c r="L199" s="23" t="str">
        <f aca="false" t="array" ref="L199:L199">_xlfn.TEXTJOIN(", ",TRUE(),TEXT(H199+_xlfn.SEQUENCE(HOUR(I199-H199),1,0,1)/24,"hh:mm:ss") &amp; "-" &amp; TEXT(H199+_xlfn.SEQUENCE(HOUR(I199-H199),1,1,1)/24,"hh:mm:ss"))</f>
        <v>10:00:00-11:00:00, 11:00:00-12:00:00</v>
      </c>
      <c r="M199" s="1" t="str">
        <f aca="false">IF(F199="","Não alocada","Alocada")</f>
        <v>Alocada</v>
      </c>
      <c r="N199" s="17" t="s">
        <v>23</v>
      </c>
      <c r="O199" s="17" t="s">
        <v>24</v>
      </c>
    </row>
    <row r="200" customFormat="false" ht="15" hidden="false" customHeight="false" outlineLevel="0" collapsed="false">
      <c r="A200" s="18" t="s">
        <v>90</v>
      </c>
      <c r="B200" s="31" t="s">
        <v>415</v>
      </c>
      <c r="C200" s="31" t="s">
        <v>416</v>
      </c>
      <c r="D200" s="19" t="s">
        <v>60</v>
      </c>
      <c r="E200" s="31" t="s">
        <v>361</v>
      </c>
      <c r="F200" s="4" t="s">
        <v>402</v>
      </c>
      <c r="G200" s="20" t="s">
        <v>34</v>
      </c>
      <c r="H200" s="27" t="n">
        <v>0.666666666666667</v>
      </c>
      <c r="I200" s="27" t="n">
        <v>0.75</v>
      </c>
      <c r="J200" s="22" t="n">
        <v>10</v>
      </c>
      <c r="K200" s="29"/>
      <c r="L200" s="23" t="str">
        <f aca="false" t="array" ref="L200:L200">_xlfn.TEXTJOIN(", ",TRUE(),TEXT(H200+_xlfn.SEQUENCE(HOUR(I200-H200),1,0,1)/24,"hh:mm:ss") &amp; "-" &amp; TEXT(H200+_xlfn.SEQUENCE(HOUR(I200-H200),1,1,1)/24,"hh:mm:ss"))</f>
        <v>16:00:00-17:00:00, 17:00:00-18:00:00</v>
      </c>
      <c r="M200" s="1" t="str">
        <f aca="false">IF(F200="","Não alocada","Alocada")</f>
        <v>Alocada</v>
      </c>
      <c r="N200" s="17" t="s">
        <v>23</v>
      </c>
      <c r="O200" s="17" t="s">
        <v>24</v>
      </c>
    </row>
    <row r="201" customFormat="false" ht="15" hidden="false" customHeight="false" outlineLevel="0" collapsed="false">
      <c r="A201" s="18" t="s">
        <v>92</v>
      </c>
      <c r="B201" s="32" t="s">
        <v>400</v>
      </c>
      <c r="C201" s="32" t="s">
        <v>401</v>
      </c>
      <c r="D201" s="19" t="s">
        <v>19</v>
      </c>
      <c r="E201" s="32" t="s">
        <v>417</v>
      </c>
      <c r="F201" s="4" t="s">
        <v>402</v>
      </c>
      <c r="G201" s="20" t="s">
        <v>66</v>
      </c>
      <c r="H201" s="34" t="s">
        <v>154</v>
      </c>
      <c r="I201" s="34" t="s">
        <v>156</v>
      </c>
      <c r="J201" s="22" t="n">
        <v>28</v>
      </c>
      <c r="K201" s="29"/>
      <c r="L201" s="23" t="str">
        <f aca="false" t="array" ref="L201:L201">_xlfn.TEXTJOIN(", ",TRUE(),TEXT(H201+_xlfn.SEQUENCE(HOUR(I201-H201),1,0,1)/24,"hh:mm:ss") &amp; "-" &amp; TEXT(H201+_xlfn.SEQUENCE(HOUR(I201-H201),1,1,1)/24,"hh:mm:ss"))</f>
        <v>10:00:00-11:00:00, 11:00:00-12:00:00</v>
      </c>
      <c r="M201" s="1" t="str">
        <f aca="false">IF(F201="","Não alocada","Alocada")</f>
        <v>Alocada</v>
      </c>
      <c r="N201" s="17" t="s">
        <v>23</v>
      </c>
      <c r="O201" s="17" t="s">
        <v>24</v>
      </c>
    </row>
    <row r="202" customFormat="false" ht="15" hidden="false" customHeight="false" outlineLevel="0" collapsed="false">
      <c r="A202" s="18" t="s">
        <v>35</v>
      </c>
      <c r="B202" s="24" t="s">
        <v>418</v>
      </c>
      <c r="C202" s="24" t="s">
        <v>419</v>
      </c>
      <c r="D202" s="19" t="s">
        <v>27</v>
      </c>
      <c r="E202" s="24" t="s">
        <v>420</v>
      </c>
      <c r="F202" s="4" t="s">
        <v>421</v>
      </c>
      <c r="G202" s="45" t="s">
        <v>117</v>
      </c>
      <c r="H202" s="25" t="n">
        <v>0.583333333333333</v>
      </c>
      <c r="I202" s="25" t="n">
        <v>0.666666666666667</v>
      </c>
      <c r="J202" s="22" t="n">
        <v>40</v>
      </c>
      <c r="K202" s="19" t="s">
        <v>117</v>
      </c>
      <c r="L202" s="23" t="str">
        <f aca="false" t="array" ref="L202:L202">_xlfn.TEXTJOIN(", ",TRUE(),TEXT(H202+_xlfn.SEQUENCE(HOUR(I202-H202),1,0,1)/24,"hh:mm:ss") &amp; "-" &amp; TEXT(H202+_xlfn.SEQUENCE(HOUR(I202-H202),1,1,1)/24,"hh:mm:ss"))</f>
        <v>14:00:00-15:00:00, 15:00:00-16:00:00</v>
      </c>
      <c r="M202" s="1" t="str">
        <f aca="false">IF(F202="","Não alocada","Alocada")</f>
        <v>Alocada</v>
      </c>
      <c r="N202" s="17" t="s">
        <v>23</v>
      </c>
      <c r="O202" s="17" t="s">
        <v>24</v>
      </c>
    </row>
    <row r="203" customFormat="false" ht="15" hidden="false" customHeight="false" outlineLevel="0" collapsed="false">
      <c r="A203" s="18" t="s">
        <v>35</v>
      </c>
      <c r="B203" s="24" t="s">
        <v>422</v>
      </c>
      <c r="C203" s="24" t="s">
        <v>423</v>
      </c>
      <c r="D203" s="19" t="s">
        <v>19</v>
      </c>
      <c r="E203" s="24" t="s">
        <v>51</v>
      </c>
      <c r="F203" s="4" t="s">
        <v>421</v>
      </c>
      <c r="G203" s="20" t="s">
        <v>34</v>
      </c>
      <c r="H203" s="25" t="n">
        <v>0.583333333333333</v>
      </c>
      <c r="I203" s="25" t="n">
        <v>0.666666666666667</v>
      </c>
      <c r="J203" s="22" t="n">
        <v>40</v>
      </c>
      <c r="K203" s="19" t="s">
        <v>34</v>
      </c>
      <c r="L203" s="23" t="str">
        <f aca="false" t="array" ref="L203:L203">_xlfn.TEXTJOIN(", ",TRUE(),TEXT(H203+_xlfn.SEQUENCE(HOUR(I203-H203),1,0,1)/24,"hh:mm:ss") &amp; "-" &amp; TEXT(H203+_xlfn.SEQUENCE(HOUR(I203-H203),1,1,1)/24,"hh:mm:ss"))</f>
        <v>14:00:00-15:00:00, 15:00:00-16:00:00</v>
      </c>
      <c r="M203" s="1" t="str">
        <f aca="false">IF(F203="","Não alocada","Alocada")</f>
        <v>Alocada</v>
      </c>
      <c r="N203" s="17" t="s">
        <v>23</v>
      </c>
      <c r="O203" s="17" t="s">
        <v>24</v>
      </c>
    </row>
    <row r="204" customFormat="false" ht="15" hidden="false" customHeight="false" outlineLevel="0" collapsed="false">
      <c r="A204" s="18" t="s">
        <v>52</v>
      </c>
      <c r="B204" s="26" t="s">
        <v>424</v>
      </c>
      <c r="C204" s="26" t="s">
        <v>425</v>
      </c>
      <c r="D204" s="19" t="s">
        <v>19</v>
      </c>
      <c r="E204" s="26" t="s">
        <v>202</v>
      </c>
      <c r="F204" s="4" t="s">
        <v>421</v>
      </c>
      <c r="G204" s="20" t="s">
        <v>117</v>
      </c>
      <c r="H204" s="27" t="n">
        <v>0.666666666666667</v>
      </c>
      <c r="I204" s="27" t="n">
        <v>0.75</v>
      </c>
      <c r="J204" s="22" t="n">
        <v>25</v>
      </c>
      <c r="K204" s="19" t="s">
        <v>117</v>
      </c>
      <c r="L204" s="23" t="str">
        <f aca="false" t="array" ref="L204:L204">_xlfn.TEXTJOIN(", ",TRUE(),TEXT(H204+_xlfn.SEQUENCE(HOUR(I204-H204),1,0,1)/24,"hh:mm:ss") &amp; "-" &amp; TEXT(H204+_xlfn.SEQUENCE(HOUR(I204-H204),1,1,1)/24,"hh:mm:ss"))</f>
        <v>16:00:00-17:00:00, 17:00:00-18:00:00</v>
      </c>
      <c r="M204" s="1" t="str">
        <f aca="false">IF(F204="","Não alocada","Alocada")</f>
        <v>Alocada</v>
      </c>
      <c r="N204" s="17" t="s">
        <v>23</v>
      </c>
      <c r="O204" s="17" t="s">
        <v>24</v>
      </c>
    </row>
    <row r="205" customFormat="false" ht="15" hidden="false" customHeight="false" outlineLevel="0" collapsed="false">
      <c r="A205" s="18" t="s">
        <v>75</v>
      </c>
      <c r="B205" s="26" t="s">
        <v>426</v>
      </c>
      <c r="C205" s="26" t="s">
        <v>427</v>
      </c>
      <c r="D205" s="19" t="s">
        <v>76</v>
      </c>
      <c r="E205" s="26" t="s">
        <v>139</v>
      </c>
      <c r="F205" s="4" t="s">
        <v>421</v>
      </c>
      <c r="G205" s="20" t="s">
        <v>34</v>
      </c>
      <c r="H205" s="27" t="n">
        <v>0.666666666666667</v>
      </c>
      <c r="I205" s="27" t="n">
        <v>0.75</v>
      </c>
      <c r="J205" s="22" t="n">
        <v>25</v>
      </c>
      <c r="K205" s="29"/>
      <c r="L205" s="23" t="str">
        <f aca="false" t="array" ref="L205:L205">_xlfn.TEXTJOIN(", ",TRUE(),TEXT(H205+_xlfn.SEQUENCE(HOUR(I205-H205),1,0,1)/24,"hh:mm:ss") &amp; "-" &amp; TEXT(H205+_xlfn.SEQUENCE(HOUR(I205-H205),1,1,1)/24,"hh:mm:ss"))</f>
        <v>16:00:00-17:00:00, 17:00:00-18:00:00</v>
      </c>
      <c r="M205" s="1" t="str">
        <f aca="false">IF(F205="","Não alocada","Alocada")</f>
        <v>Alocada</v>
      </c>
      <c r="N205" s="17" t="s">
        <v>23</v>
      </c>
      <c r="O205" s="17" t="s">
        <v>24</v>
      </c>
    </row>
    <row r="206" customFormat="false" ht="15" hidden="false" customHeight="false" outlineLevel="0" collapsed="false">
      <c r="A206" s="18" t="s">
        <v>35</v>
      </c>
      <c r="B206" s="24" t="s">
        <v>428</v>
      </c>
      <c r="C206" s="24" t="s">
        <v>429</v>
      </c>
      <c r="D206" s="19" t="s">
        <v>73</v>
      </c>
      <c r="E206" s="24" t="s">
        <v>430</v>
      </c>
      <c r="F206" s="4" t="s">
        <v>431</v>
      </c>
      <c r="G206" s="20" t="s">
        <v>34</v>
      </c>
      <c r="H206" s="25" t="n">
        <v>0.333333333333333</v>
      </c>
      <c r="I206" s="25" t="n">
        <v>0.416666666666667</v>
      </c>
      <c r="J206" s="22" t="n">
        <v>24</v>
      </c>
      <c r="K206" s="19" t="s">
        <v>34</v>
      </c>
      <c r="L206" s="23" t="str">
        <f aca="false" t="array" ref="L206:L206">_xlfn.TEXTJOIN(", ",TRUE(),TEXT(H206+_xlfn.SEQUENCE(HOUR(I206-H206),1,0,1)/24,"hh:mm:ss") &amp; "-" &amp; TEXT(H206+_xlfn.SEQUENCE(HOUR(I206-H206),1,1,1)/24,"hh:mm:ss"))</f>
        <v>08:00:00-09:00:00, 09:00:00-10:00:00</v>
      </c>
      <c r="M206" s="1" t="str">
        <f aca="false">IF(F206="","Não alocada","Alocada")</f>
        <v>Alocada</v>
      </c>
      <c r="N206" s="17" t="s">
        <v>23</v>
      </c>
      <c r="O206" s="17" t="s">
        <v>24</v>
      </c>
    </row>
    <row r="207" customFormat="false" ht="15" hidden="false" customHeight="false" outlineLevel="0" collapsed="false">
      <c r="A207" s="28" t="s">
        <v>69</v>
      </c>
      <c r="B207" s="26" t="s">
        <v>432</v>
      </c>
      <c r="C207" s="26" t="s">
        <v>433</v>
      </c>
      <c r="D207" s="19" t="s">
        <v>60</v>
      </c>
      <c r="E207" s="26" t="s">
        <v>434</v>
      </c>
      <c r="F207" s="4" t="s">
        <v>431</v>
      </c>
      <c r="G207" s="35" t="s">
        <v>22</v>
      </c>
      <c r="H207" s="36" t="n">
        <v>0.416666666666667</v>
      </c>
      <c r="I207" s="36" t="n">
        <v>0.5</v>
      </c>
      <c r="J207" s="22" t="n">
        <v>21</v>
      </c>
      <c r="K207" s="37" t="s">
        <v>22</v>
      </c>
      <c r="L207" s="23" t="str">
        <f aca="false" t="array" ref="L207:L207">_xlfn.TEXTJOIN(", ",TRUE(),TEXT(H207+_xlfn.SEQUENCE(HOUR(I207-H207),1,0,1)/24,"hh:mm:ss") &amp; "-" &amp; TEXT(H207+_xlfn.SEQUENCE(HOUR(I207-H207),1,1,1)/24,"hh:mm:ss"))</f>
        <v>10:00:00-11:00:00, 11:00:00-12:00:00</v>
      </c>
      <c r="M207" s="1" t="str">
        <f aca="false">IF(F207="","Não alocada","Alocada")</f>
        <v>Alocada</v>
      </c>
      <c r="N207" s="17" t="s">
        <v>23</v>
      </c>
      <c r="O207" s="17" t="s">
        <v>24</v>
      </c>
    </row>
    <row r="208" customFormat="false" ht="15" hidden="false" customHeight="false" outlineLevel="0" collapsed="false">
      <c r="A208" s="28" t="s">
        <v>69</v>
      </c>
      <c r="B208" s="26" t="s">
        <v>432</v>
      </c>
      <c r="C208" s="26" t="s">
        <v>433</v>
      </c>
      <c r="D208" s="19" t="s">
        <v>60</v>
      </c>
      <c r="E208" s="26" t="s">
        <v>434</v>
      </c>
      <c r="F208" s="4" t="s">
        <v>431</v>
      </c>
      <c r="G208" s="35" t="s">
        <v>66</v>
      </c>
      <c r="H208" s="36" t="n">
        <v>0.333333333333333</v>
      </c>
      <c r="I208" s="36" t="n">
        <v>0.416666666666667</v>
      </c>
      <c r="J208" s="22" t="n">
        <v>21</v>
      </c>
      <c r="K208" s="37" t="s">
        <v>66</v>
      </c>
      <c r="L208" s="23" t="str">
        <f aca="false" t="array" ref="L208:L208">_xlfn.TEXTJOIN(", ",TRUE(),TEXT(H208+_xlfn.SEQUENCE(HOUR(I208-H208),1,0,1)/24,"hh:mm:ss") &amp; "-" &amp; TEXT(H208+_xlfn.SEQUENCE(HOUR(I208-H208),1,1,1)/24,"hh:mm:ss"))</f>
        <v>08:00:00-09:00:00, 09:00:00-10:00:00</v>
      </c>
      <c r="M208" s="1" t="str">
        <f aca="false">IF(F208="","Não alocada","Alocada")</f>
        <v>Alocada</v>
      </c>
      <c r="N208" s="17" t="s">
        <v>23</v>
      </c>
      <c r="O208" s="17" t="s">
        <v>24</v>
      </c>
    </row>
    <row r="209" customFormat="false" ht="15" hidden="false" customHeight="false" outlineLevel="0" collapsed="false">
      <c r="A209" s="28" t="s">
        <v>69</v>
      </c>
      <c r="B209" s="26" t="s">
        <v>435</v>
      </c>
      <c r="C209" s="26" t="s">
        <v>436</v>
      </c>
      <c r="D209" s="19" t="s">
        <v>19</v>
      </c>
      <c r="E209" s="26" t="s">
        <v>265</v>
      </c>
      <c r="F209" s="4" t="s">
        <v>431</v>
      </c>
      <c r="G209" s="20" t="s">
        <v>34</v>
      </c>
      <c r="H209" s="27" t="n">
        <v>0.416666666666667</v>
      </c>
      <c r="I209" s="27" t="n">
        <v>0.5</v>
      </c>
      <c r="J209" s="22" t="n">
        <v>31</v>
      </c>
      <c r="K209" s="29"/>
      <c r="L209" s="23" t="str">
        <f aca="false" t="array" ref="L209:L209">_xlfn.TEXTJOIN(", ",TRUE(),TEXT(H209+_xlfn.SEQUENCE(HOUR(I209-H209),1,0,1)/24,"hh:mm:ss") &amp; "-" &amp; TEXT(H209+_xlfn.SEQUENCE(HOUR(I209-H209),1,1,1)/24,"hh:mm:ss"))</f>
        <v>10:00:00-11:00:00, 11:00:00-12:00:00</v>
      </c>
      <c r="M209" s="1" t="str">
        <f aca="false">IF(F209="","Não alocada","Alocada")</f>
        <v>Alocada</v>
      </c>
      <c r="N209" s="17" t="s">
        <v>23</v>
      </c>
      <c r="O209" s="17" t="s">
        <v>24</v>
      </c>
    </row>
    <row r="210" customFormat="false" ht="15" hidden="false" customHeight="false" outlineLevel="0" collapsed="false">
      <c r="A210" s="28" t="s">
        <v>69</v>
      </c>
      <c r="B210" s="26" t="s">
        <v>437</v>
      </c>
      <c r="C210" s="26" t="s">
        <v>438</v>
      </c>
      <c r="D210" s="19" t="s">
        <v>73</v>
      </c>
      <c r="E210" s="26" t="s">
        <v>253</v>
      </c>
      <c r="F210" s="4" t="s">
        <v>431</v>
      </c>
      <c r="G210" s="20" t="s">
        <v>34</v>
      </c>
      <c r="H210" s="27" t="n">
        <v>0.333333333333333</v>
      </c>
      <c r="I210" s="27" t="n">
        <v>0.416666666666667</v>
      </c>
      <c r="J210" s="22" t="n">
        <v>0</v>
      </c>
      <c r="K210" s="29"/>
      <c r="L210" s="23" t="str">
        <f aca="false" t="array" ref="L210:L210">_xlfn.TEXTJOIN(", ",TRUE(),TEXT(H210+_xlfn.SEQUENCE(HOUR(I210-H210),1,0,1)/24,"hh:mm:ss") &amp; "-" &amp; TEXT(H210+_xlfn.SEQUENCE(HOUR(I210-H210),1,1,1)/24,"hh:mm:ss"))</f>
        <v>08:00:00-09:00:00, 09:00:00-10:00:00</v>
      </c>
      <c r="M210" s="1" t="str">
        <f aca="false">IF(F210="","Não alocada","Alocada")</f>
        <v>Alocada</v>
      </c>
      <c r="N210" s="17" t="s">
        <v>23</v>
      </c>
      <c r="O210" s="17" t="s">
        <v>24</v>
      </c>
    </row>
    <row r="211" customFormat="false" ht="15" hidden="false" customHeight="false" outlineLevel="0" collapsed="false">
      <c r="A211" s="28" t="s">
        <v>69</v>
      </c>
      <c r="B211" s="26" t="s">
        <v>437</v>
      </c>
      <c r="C211" s="26" t="s">
        <v>439</v>
      </c>
      <c r="D211" s="19" t="s">
        <v>19</v>
      </c>
      <c r="E211" s="26" t="s">
        <v>253</v>
      </c>
      <c r="F211" s="4" t="s">
        <v>431</v>
      </c>
      <c r="G211" s="20" t="s">
        <v>34</v>
      </c>
      <c r="H211" s="27" t="n">
        <v>0.333333333333333</v>
      </c>
      <c r="I211" s="27" t="n">
        <v>0.416666666666667</v>
      </c>
      <c r="J211" s="22" t="n">
        <v>0</v>
      </c>
      <c r="K211" s="29"/>
      <c r="L211" s="23" t="str">
        <f aca="false" t="array" ref="L211:L211">_xlfn.TEXTJOIN(", ",TRUE(),TEXT(H211+_xlfn.SEQUENCE(HOUR(I211-H211),1,0,1)/24,"hh:mm:ss") &amp; "-" &amp; TEXT(H211+_xlfn.SEQUENCE(HOUR(I211-H211),1,1,1)/24,"hh:mm:ss"))</f>
        <v>08:00:00-09:00:00, 09:00:00-10:00:00</v>
      </c>
      <c r="M211" s="1" t="str">
        <f aca="false">IF(F211="","Não alocada","Alocada")</f>
        <v>Alocada</v>
      </c>
      <c r="N211" s="17" t="s">
        <v>23</v>
      </c>
      <c r="O211" s="17" t="s">
        <v>24</v>
      </c>
    </row>
    <row r="212" customFormat="false" ht="15" hidden="false" customHeight="false" outlineLevel="0" collapsed="false">
      <c r="A212" s="18" t="s">
        <v>75</v>
      </c>
      <c r="B212" s="26" t="s">
        <v>440</v>
      </c>
      <c r="C212" s="26" t="s">
        <v>441</v>
      </c>
      <c r="D212" s="19" t="s">
        <v>76</v>
      </c>
      <c r="E212" s="26"/>
      <c r="F212" s="4" t="s">
        <v>431</v>
      </c>
      <c r="G212" s="20" t="s">
        <v>22</v>
      </c>
      <c r="H212" s="27" t="n">
        <v>0.291666666666667</v>
      </c>
      <c r="I212" s="27" t="n">
        <v>0.416666666666667</v>
      </c>
      <c r="J212" s="22" t="n">
        <v>26</v>
      </c>
      <c r="K212" s="29"/>
      <c r="L212" s="23" t="str">
        <f aca="false" t="array" ref="L212:L212">_xlfn.TEXTJOIN(", ",TRUE(),TEXT(H212+_xlfn.SEQUENCE(HOUR(I212-H212),1,0,1)/24,"hh:mm:ss") &amp; "-" &amp; TEXT(H212+_xlfn.SEQUENCE(HOUR(I212-H212),1,1,1)/24,"hh:mm:ss"))</f>
        <v>07:00:00-08:00:00, 08:00:00-09:00:00, 09:00:00-10:00:00</v>
      </c>
      <c r="M212" s="1" t="str">
        <f aca="false">IF(F212="","Não alocada","Alocada")</f>
        <v>Alocada</v>
      </c>
      <c r="N212" s="17" t="s">
        <v>23</v>
      </c>
      <c r="O212" s="17" t="s">
        <v>24</v>
      </c>
    </row>
    <row r="213" customFormat="false" ht="15" hidden="false" customHeight="false" outlineLevel="0" collapsed="false">
      <c r="A213" s="18" t="s">
        <v>82</v>
      </c>
      <c r="B213" s="26" t="s">
        <v>435</v>
      </c>
      <c r="C213" s="26" t="s">
        <v>436</v>
      </c>
      <c r="D213" s="19" t="s">
        <v>19</v>
      </c>
      <c r="E213" s="26" t="s">
        <v>265</v>
      </c>
      <c r="F213" s="4" t="s">
        <v>431</v>
      </c>
      <c r="G213" s="20" t="s">
        <v>34</v>
      </c>
      <c r="H213" s="27" t="n">
        <v>0.416666666666667</v>
      </c>
      <c r="I213" s="27" t="n">
        <v>0.5</v>
      </c>
      <c r="J213" s="22" t="n">
        <v>31</v>
      </c>
      <c r="K213" s="29"/>
      <c r="L213" s="23" t="str">
        <f aca="false" t="array" ref="L213:L213">_xlfn.TEXTJOIN(", ",TRUE(),TEXT(H213+_xlfn.SEQUENCE(HOUR(I213-H213),1,0,1)/24,"hh:mm:ss") &amp; "-" &amp; TEXT(H213+_xlfn.SEQUENCE(HOUR(I213-H213),1,1,1)/24,"hh:mm:ss"))</f>
        <v>10:00:00-11:00:00, 11:00:00-12:00:00</v>
      </c>
      <c r="M213" s="1" t="str">
        <f aca="false">IF(F213="","Não alocada","Alocada")</f>
        <v>Alocada</v>
      </c>
      <c r="N213" s="17" t="s">
        <v>23</v>
      </c>
      <c r="O213" s="17" t="s">
        <v>24</v>
      </c>
    </row>
    <row r="214" customFormat="false" ht="15" hidden="false" customHeight="false" outlineLevel="0" collapsed="false">
      <c r="A214" s="18" t="s">
        <v>92</v>
      </c>
      <c r="B214" s="32" t="s">
        <v>428</v>
      </c>
      <c r="C214" s="32" t="s">
        <v>429</v>
      </c>
      <c r="D214" s="19" t="s">
        <v>19</v>
      </c>
      <c r="E214" s="32" t="s">
        <v>442</v>
      </c>
      <c r="F214" s="4" t="s">
        <v>431</v>
      </c>
      <c r="G214" s="34" t="s">
        <v>117</v>
      </c>
      <c r="H214" s="33" t="n">
        <v>0.416666666666667</v>
      </c>
      <c r="I214" s="33" t="n">
        <v>0.5</v>
      </c>
      <c r="J214" s="22" t="n">
        <v>24</v>
      </c>
      <c r="K214" s="29"/>
      <c r="L214" s="23" t="str">
        <f aca="false" t="array" ref="L214:L214">_xlfn.TEXTJOIN(", ",TRUE(),TEXT(H214+_xlfn.SEQUENCE(HOUR(I214-H214),1,0,1)/24,"hh:mm:ss") &amp; "-" &amp; TEXT(H214+_xlfn.SEQUENCE(HOUR(I214-H214),1,1,1)/24,"hh:mm:ss"))</f>
        <v>10:00:00-11:00:00, 11:00:00-12:00:00</v>
      </c>
      <c r="M214" s="1" t="str">
        <f aca="false">IF(F214="","Não alocada","Alocada")</f>
        <v>Alocada</v>
      </c>
      <c r="N214" s="17" t="s">
        <v>23</v>
      </c>
      <c r="O214" s="17" t="s">
        <v>24</v>
      </c>
    </row>
    <row r="215" customFormat="false" ht="15" hidden="false" customHeight="false" outlineLevel="0" collapsed="false">
      <c r="A215" s="18" t="s">
        <v>35</v>
      </c>
      <c r="B215" s="24" t="s">
        <v>443</v>
      </c>
      <c r="C215" s="24" t="s">
        <v>444</v>
      </c>
      <c r="D215" s="19" t="s">
        <v>27</v>
      </c>
      <c r="E215" s="24" t="s">
        <v>126</v>
      </c>
      <c r="F215" s="4" t="s">
        <v>445</v>
      </c>
      <c r="G215" s="20" t="s">
        <v>34</v>
      </c>
      <c r="H215" s="25" t="n">
        <v>0.666666666666667</v>
      </c>
      <c r="I215" s="25" t="n">
        <v>0.75</v>
      </c>
      <c r="J215" s="22" t="n">
        <v>0</v>
      </c>
      <c r="K215" s="19" t="s">
        <v>34</v>
      </c>
      <c r="L215" s="23" t="str">
        <f aca="false" t="array" ref="L215:L215">_xlfn.TEXTJOIN(", ",TRUE(),TEXT(H215+_xlfn.SEQUENCE(HOUR(I215-H215),1,0,1)/24,"hh:mm:ss") &amp; "-" &amp; TEXT(H215+_xlfn.SEQUENCE(HOUR(I215-H215),1,1,1)/24,"hh:mm:ss"))</f>
        <v>16:00:00-17:00:00, 17:00:00-18:00:00</v>
      </c>
      <c r="M215" s="1" t="str">
        <f aca="false">IF(F215="","Não alocada","Alocada")</f>
        <v>Alocada</v>
      </c>
      <c r="N215" s="17" t="s">
        <v>23</v>
      </c>
      <c r="O215" s="17" t="s">
        <v>24</v>
      </c>
    </row>
    <row r="216" customFormat="false" ht="15" hidden="false" customHeight="false" outlineLevel="0" collapsed="false">
      <c r="A216" s="18" t="s">
        <v>52</v>
      </c>
      <c r="B216" s="26" t="s">
        <v>446</v>
      </c>
      <c r="C216" s="26" t="s">
        <v>447</v>
      </c>
      <c r="D216" s="19" t="s">
        <v>27</v>
      </c>
      <c r="E216" s="26" t="s">
        <v>448</v>
      </c>
      <c r="F216" s="4" t="s">
        <v>445</v>
      </c>
      <c r="G216" s="20" t="s">
        <v>117</v>
      </c>
      <c r="H216" s="27" t="n">
        <v>0.333333333333333</v>
      </c>
      <c r="I216" s="27" t="n">
        <v>0.416666666666667</v>
      </c>
      <c r="J216" s="22" t="n">
        <v>36</v>
      </c>
      <c r="K216" s="19" t="s">
        <v>117</v>
      </c>
      <c r="L216" s="23" t="str">
        <f aca="false" t="array" ref="L216:L216">_xlfn.TEXTJOIN(", ",TRUE(),TEXT(H216+_xlfn.SEQUENCE(HOUR(I216-H216),1,0,1)/24,"hh:mm:ss") &amp; "-" &amp; TEXT(H216+_xlfn.SEQUENCE(HOUR(I216-H216),1,1,1)/24,"hh:mm:ss"))</f>
        <v>08:00:00-09:00:00, 09:00:00-10:00:00</v>
      </c>
      <c r="M216" s="1" t="str">
        <f aca="false">IF(F216="","Não alocada","Alocada")</f>
        <v>Alocada</v>
      </c>
      <c r="N216" s="17" t="s">
        <v>23</v>
      </c>
      <c r="O216" s="17" t="s">
        <v>24</v>
      </c>
    </row>
    <row r="217" customFormat="false" ht="15" hidden="false" customHeight="false" outlineLevel="0" collapsed="false">
      <c r="A217" s="18" t="s">
        <v>52</v>
      </c>
      <c r="B217" s="26" t="s">
        <v>446</v>
      </c>
      <c r="C217" s="26" t="s">
        <v>447</v>
      </c>
      <c r="D217" s="19" t="s">
        <v>60</v>
      </c>
      <c r="E217" s="26" t="s">
        <v>196</v>
      </c>
      <c r="F217" s="4" t="s">
        <v>445</v>
      </c>
      <c r="G217" s="20" t="s">
        <v>117</v>
      </c>
      <c r="H217" s="27" t="n">
        <v>0.583333333333333</v>
      </c>
      <c r="I217" s="27" t="n">
        <v>0.666666666666667</v>
      </c>
      <c r="J217" s="22" t="n">
        <v>36</v>
      </c>
      <c r="K217" s="19" t="s">
        <v>117</v>
      </c>
      <c r="L217" s="23" t="str">
        <f aca="false" t="array" ref="L217:L217">_xlfn.TEXTJOIN(", ",TRUE(),TEXT(H217+_xlfn.SEQUENCE(HOUR(I217-H217),1,0,1)/24,"hh:mm:ss") &amp; "-" &amp; TEXT(H217+_xlfn.SEQUENCE(HOUR(I217-H217),1,1,1)/24,"hh:mm:ss"))</f>
        <v>14:00:00-15:00:00, 15:00:00-16:00:00</v>
      </c>
      <c r="M217" s="1" t="str">
        <f aca="false">IF(F217="","Não alocada","Alocada")</f>
        <v>Alocada</v>
      </c>
      <c r="N217" s="17" t="s">
        <v>23</v>
      </c>
      <c r="O217" s="17" t="s">
        <v>24</v>
      </c>
    </row>
    <row r="218" customFormat="false" ht="15" hidden="false" customHeight="false" outlineLevel="0" collapsed="false">
      <c r="A218" s="28" t="s">
        <v>69</v>
      </c>
      <c r="B218" s="26" t="s">
        <v>449</v>
      </c>
      <c r="C218" s="26" t="s">
        <v>450</v>
      </c>
      <c r="D218" s="19" t="s">
        <v>19</v>
      </c>
      <c r="E218" s="26" t="s">
        <v>434</v>
      </c>
      <c r="F218" s="4" t="s">
        <v>445</v>
      </c>
      <c r="G218" s="20" t="s">
        <v>117</v>
      </c>
      <c r="H218" s="27" t="n">
        <v>0.416666666666667</v>
      </c>
      <c r="I218" s="27" t="n">
        <v>0.5</v>
      </c>
      <c r="J218" s="22" t="n">
        <v>3</v>
      </c>
      <c r="K218" s="29"/>
      <c r="L218" s="23" t="str">
        <f aca="false" t="array" ref="L218:L218">_xlfn.TEXTJOIN(", ",TRUE(),TEXT(H218+_xlfn.SEQUENCE(HOUR(I218-H218),1,0,1)/24,"hh:mm:ss") &amp; "-" &amp; TEXT(H218+_xlfn.SEQUENCE(HOUR(I218-H218),1,1,1)/24,"hh:mm:ss"))</f>
        <v>10:00:00-11:00:00, 11:00:00-12:00:00</v>
      </c>
      <c r="M218" s="1" t="str">
        <f aca="false">IF(F218="","Não alocada","Alocada")</f>
        <v>Alocada</v>
      </c>
      <c r="N218" s="17" t="s">
        <v>23</v>
      </c>
      <c r="O218" s="17" t="s">
        <v>24</v>
      </c>
    </row>
    <row r="219" customFormat="false" ht="15" hidden="false" customHeight="false" outlineLevel="0" collapsed="false">
      <c r="A219" s="28" t="s">
        <v>69</v>
      </c>
      <c r="B219" s="26" t="s">
        <v>451</v>
      </c>
      <c r="C219" s="26" t="s">
        <v>452</v>
      </c>
      <c r="D219" s="19" t="s">
        <v>73</v>
      </c>
      <c r="E219" s="26" t="s">
        <v>434</v>
      </c>
      <c r="F219" s="4" t="s">
        <v>445</v>
      </c>
      <c r="G219" s="20" t="s">
        <v>34</v>
      </c>
      <c r="H219" s="27" t="n">
        <v>0.416666666666667</v>
      </c>
      <c r="I219" s="27" t="n">
        <v>0.5</v>
      </c>
      <c r="J219" s="22" t="n">
        <v>8</v>
      </c>
      <c r="K219" s="29"/>
      <c r="L219" s="23" t="str">
        <f aca="false" t="array" ref="L219:L219">_xlfn.TEXTJOIN(", ",TRUE(),TEXT(H219+_xlfn.SEQUENCE(HOUR(I219-H219),1,0,1)/24,"hh:mm:ss") &amp; "-" &amp; TEXT(H219+_xlfn.SEQUENCE(HOUR(I219-H219),1,1,1)/24,"hh:mm:ss"))</f>
        <v>10:00:00-11:00:00, 11:00:00-12:00:00</v>
      </c>
      <c r="M219" s="1" t="str">
        <f aca="false">IF(F219="","Não alocada","Alocada")</f>
        <v>Alocada</v>
      </c>
      <c r="N219" s="17" t="s">
        <v>23</v>
      </c>
      <c r="O219" s="17" t="s">
        <v>24</v>
      </c>
    </row>
    <row r="220" customFormat="false" ht="15" hidden="false" customHeight="false" outlineLevel="0" collapsed="false">
      <c r="A220" s="18" t="s">
        <v>82</v>
      </c>
      <c r="B220" s="30" t="s">
        <v>453</v>
      </c>
      <c r="C220" s="30" t="s">
        <v>454</v>
      </c>
      <c r="D220" s="19" t="s">
        <v>19</v>
      </c>
      <c r="E220" s="26" t="s">
        <v>455</v>
      </c>
      <c r="F220" s="4" t="s">
        <v>445</v>
      </c>
      <c r="G220" s="20" t="s">
        <v>29</v>
      </c>
      <c r="H220" s="27" t="n">
        <v>0.333333333333333</v>
      </c>
      <c r="I220" s="27" t="n">
        <v>0.416666666666667</v>
      </c>
      <c r="J220" s="22" t="n">
        <v>14</v>
      </c>
      <c r="K220" s="29"/>
      <c r="L220" s="23" t="str">
        <f aca="false" t="array" ref="L220:L220">_xlfn.TEXTJOIN(", ",TRUE(),TEXT(H220+_xlfn.SEQUENCE(HOUR(I220-H220),1,0,1)/24,"hh:mm:ss") &amp; "-" &amp; TEXT(H220+_xlfn.SEQUENCE(HOUR(I220-H220),1,1,1)/24,"hh:mm:ss"))</f>
        <v>08:00:00-09:00:00, 09:00:00-10:00:00</v>
      </c>
      <c r="M220" s="1" t="str">
        <f aca="false">IF(F220="","Não alocada","Alocada")</f>
        <v>Alocada</v>
      </c>
      <c r="N220" s="17" t="s">
        <v>23</v>
      </c>
      <c r="O220" s="17" t="s">
        <v>24</v>
      </c>
    </row>
    <row r="221" customFormat="false" ht="15" hidden="false" customHeight="false" outlineLevel="0" collapsed="false">
      <c r="A221" s="18" t="s">
        <v>82</v>
      </c>
      <c r="B221" s="26" t="s">
        <v>456</v>
      </c>
      <c r="C221" s="30" t="s">
        <v>457</v>
      </c>
      <c r="D221" s="19" t="s">
        <v>19</v>
      </c>
      <c r="E221" s="26" t="s">
        <v>285</v>
      </c>
      <c r="F221" s="4" t="s">
        <v>445</v>
      </c>
      <c r="G221" s="20" t="s">
        <v>66</v>
      </c>
      <c r="H221" s="27" t="n">
        <v>0.333333333333333</v>
      </c>
      <c r="I221" s="27" t="n">
        <v>0.416666666666667</v>
      </c>
      <c r="J221" s="22" t="n">
        <v>13</v>
      </c>
      <c r="K221" s="29"/>
      <c r="L221" s="23" t="str">
        <f aca="false" t="array" ref="L221:L221">_xlfn.TEXTJOIN(", ",TRUE(),TEXT(H221+_xlfn.SEQUENCE(HOUR(I221-H221),1,0,1)/24,"hh:mm:ss") &amp; "-" &amp; TEXT(H221+_xlfn.SEQUENCE(HOUR(I221-H221),1,1,1)/24,"hh:mm:ss"))</f>
        <v>08:00:00-09:00:00, 09:00:00-10:00:00</v>
      </c>
      <c r="M221" s="1" t="str">
        <f aca="false">IF(F221="","Não alocada","Alocada")</f>
        <v>Alocada</v>
      </c>
      <c r="N221" s="17" t="s">
        <v>23</v>
      </c>
      <c r="O221" s="17" t="s">
        <v>24</v>
      </c>
    </row>
    <row r="222" customFormat="false" ht="15" hidden="false" customHeight="false" outlineLevel="0" collapsed="false">
      <c r="A222" s="18" t="s">
        <v>92</v>
      </c>
      <c r="B222" s="32" t="s">
        <v>458</v>
      </c>
      <c r="C222" s="32" t="s">
        <v>459</v>
      </c>
      <c r="D222" s="19" t="s">
        <v>27</v>
      </c>
      <c r="E222" s="32" t="s">
        <v>460</v>
      </c>
      <c r="F222" s="4" t="s">
        <v>445</v>
      </c>
      <c r="G222" s="20" t="s">
        <v>22</v>
      </c>
      <c r="H222" s="34" t="s">
        <v>154</v>
      </c>
      <c r="I222" s="34" t="s">
        <v>156</v>
      </c>
      <c r="J222" s="22" t="n">
        <v>20</v>
      </c>
      <c r="K222" s="29"/>
      <c r="L222" s="23" t="str">
        <f aca="false" t="array" ref="L222:L222">_xlfn.TEXTJOIN(", ",TRUE(),TEXT(H222+_xlfn.SEQUENCE(HOUR(I222-H222),1,0,1)/24,"hh:mm:ss") &amp; "-" &amp; TEXT(H222+_xlfn.SEQUENCE(HOUR(I222-H222),1,1,1)/24,"hh:mm:ss"))</f>
        <v>10:00:00-11:00:00, 11:00:00-12:00:00</v>
      </c>
      <c r="M222" s="1" t="str">
        <f aca="false">IF(F222="","Não alocada","Alocada")</f>
        <v>Alocada</v>
      </c>
      <c r="N222" s="17" t="s">
        <v>23</v>
      </c>
      <c r="O222" s="17" t="s">
        <v>24</v>
      </c>
    </row>
    <row r="223" customFormat="false" ht="15" hidden="false" customHeight="false" outlineLevel="0" collapsed="false">
      <c r="A223" s="18" t="s">
        <v>92</v>
      </c>
      <c r="B223" s="32" t="s">
        <v>461</v>
      </c>
      <c r="C223" s="32" t="s">
        <v>50</v>
      </c>
      <c r="D223" s="19" t="s">
        <v>27</v>
      </c>
      <c r="E223" s="32" t="s">
        <v>462</v>
      </c>
      <c r="F223" s="4" t="s">
        <v>445</v>
      </c>
      <c r="G223" s="20" t="s">
        <v>34</v>
      </c>
      <c r="H223" s="34" t="s">
        <v>153</v>
      </c>
      <c r="I223" s="34" t="s">
        <v>154</v>
      </c>
      <c r="J223" s="22" t="n">
        <v>19</v>
      </c>
      <c r="K223" s="29"/>
      <c r="L223" s="23" t="str">
        <f aca="false" t="array" ref="L223:L223">_xlfn.TEXTJOIN(", ",TRUE(),TEXT(H223+_xlfn.SEQUENCE(HOUR(I223-H223),1,0,1)/24,"hh:mm:ss") &amp; "-" &amp; TEXT(H223+_xlfn.SEQUENCE(HOUR(I223-H223),1,1,1)/24,"hh:mm:ss"))</f>
        <v>08:00:00-09:00:00, 09:00:00-10:00:00</v>
      </c>
      <c r="M223" s="1" t="str">
        <f aca="false">IF(F223="","Não alocada","Alocada")</f>
        <v>Alocada</v>
      </c>
      <c r="N223" s="17" t="s">
        <v>23</v>
      </c>
      <c r="O223" s="17" t="s">
        <v>24</v>
      </c>
    </row>
    <row r="224" customFormat="false" ht="15" hidden="false" customHeight="false" outlineLevel="0" collapsed="false">
      <c r="A224" s="18" t="s">
        <v>221</v>
      </c>
      <c r="B224" s="26" t="s">
        <v>463</v>
      </c>
      <c r="C224" s="26" t="s">
        <v>464</v>
      </c>
      <c r="D224" s="19" t="s">
        <v>27</v>
      </c>
      <c r="E224" s="26" t="s">
        <v>465</v>
      </c>
      <c r="F224" s="4" t="s">
        <v>466</v>
      </c>
      <c r="G224" s="35" t="s">
        <v>56</v>
      </c>
      <c r="H224" s="36" t="n">
        <v>0.333333333333333</v>
      </c>
      <c r="I224" s="36" t="n">
        <v>0.416666666666667</v>
      </c>
      <c r="J224" s="22" t="n">
        <v>18</v>
      </c>
      <c r="K224" s="37" t="s">
        <v>56</v>
      </c>
      <c r="L224" s="23" t="str">
        <f aca="false" t="array" ref="L224:L224">_xlfn.TEXTJOIN(", ",TRUE(),TEXT(H224+_xlfn.SEQUENCE(HOUR(I224-H224),1,0,1)/24,"hh:mm:ss") &amp; "-" &amp; TEXT(H224+_xlfn.SEQUENCE(HOUR(I224-H224),1,1,1)/24,"hh:mm:ss"))</f>
        <v>08:00:00-09:00:00, 09:00:00-10:00:00</v>
      </c>
      <c r="M224" s="1" t="str">
        <f aca="false">IF(F224="","Não alocada","Alocada")</f>
        <v>Alocada</v>
      </c>
      <c r="N224" s="17" t="s">
        <v>23</v>
      </c>
      <c r="O224" s="17" t="s">
        <v>24</v>
      </c>
    </row>
    <row r="225" customFormat="false" ht="15" hidden="false" customHeight="false" outlineLevel="0" collapsed="false">
      <c r="A225" s="18" t="s">
        <v>221</v>
      </c>
      <c r="B225" s="26" t="s">
        <v>463</v>
      </c>
      <c r="C225" s="26" t="s">
        <v>464</v>
      </c>
      <c r="D225" s="19" t="s">
        <v>27</v>
      </c>
      <c r="E225" s="26" t="s">
        <v>465</v>
      </c>
      <c r="F225" s="4" t="s">
        <v>466</v>
      </c>
      <c r="G225" s="35" t="s">
        <v>66</v>
      </c>
      <c r="H225" s="36" t="n">
        <v>0.416666666666667</v>
      </c>
      <c r="I225" s="36" t="n">
        <v>0.5</v>
      </c>
      <c r="J225" s="22" t="n">
        <v>18</v>
      </c>
      <c r="K225" s="37" t="s">
        <v>66</v>
      </c>
      <c r="L225" s="23" t="str">
        <f aca="false" t="array" ref="L225:L225">_xlfn.TEXTJOIN(", ",TRUE(),TEXT(H225+_xlfn.SEQUENCE(HOUR(I225-H225),1,0,1)/24,"hh:mm:ss") &amp; "-" &amp; TEXT(H225+_xlfn.SEQUENCE(HOUR(I225-H225),1,1,1)/24,"hh:mm:ss"))</f>
        <v>10:00:00-11:00:00, 11:00:00-12:00:00</v>
      </c>
      <c r="M225" s="1" t="str">
        <f aca="false">IF(F225="","Não alocada","Alocada")</f>
        <v>Alocada</v>
      </c>
      <c r="N225" s="17" t="s">
        <v>23</v>
      </c>
      <c r="O225" s="17" t="s">
        <v>24</v>
      </c>
    </row>
    <row r="226" customFormat="false" ht="15" hidden="false" customHeight="false" outlineLevel="0" collapsed="false">
      <c r="A226" s="18" t="s">
        <v>52</v>
      </c>
      <c r="B226" s="26" t="s">
        <v>467</v>
      </c>
      <c r="C226" s="26" t="s">
        <v>468</v>
      </c>
      <c r="D226" s="19" t="s">
        <v>27</v>
      </c>
      <c r="E226" s="26" t="s">
        <v>58</v>
      </c>
      <c r="F226" s="4" t="s">
        <v>466</v>
      </c>
      <c r="G226" s="20" t="s">
        <v>29</v>
      </c>
      <c r="H226" s="27" t="n">
        <v>0.416666666666667</v>
      </c>
      <c r="I226" s="27" t="n">
        <v>0.5</v>
      </c>
      <c r="J226" s="22" t="n">
        <v>13</v>
      </c>
      <c r="K226" s="19" t="s">
        <v>29</v>
      </c>
      <c r="L226" s="23" t="str">
        <f aca="false" t="array" ref="L226:L226">_xlfn.TEXTJOIN(", ",TRUE(),TEXT(H226+_xlfn.SEQUENCE(HOUR(I226-H226),1,0,1)/24,"hh:mm:ss") &amp; "-" &amp; TEXT(H226+_xlfn.SEQUENCE(HOUR(I226-H226),1,1,1)/24,"hh:mm:ss"))</f>
        <v>10:00:00-11:00:00, 11:00:00-12:00:00</v>
      </c>
      <c r="M226" s="1" t="str">
        <f aca="false">IF(F226="","Não alocada","Alocada")</f>
        <v>Alocada</v>
      </c>
      <c r="N226" s="17" t="s">
        <v>23</v>
      </c>
      <c r="O226" s="17" t="s">
        <v>24</v>
      </c>
    </row>
    <row r="227" customFormat="false" ht="15" hidden="false" customHeight="false" outlineLevel="0" collapsed="false">
      <c r="A227" s="18" t="s">
        <v>82</v>
      </c>
      <c r="B227" s="26" t="s">
        <v>469</v>
      </c>
      <c r="C227" s="26" t="s">
        <v>470</v>
      </c>
      <c r="D227" s="19" t="s">
        <v>19</v>
      </c>
      <c r="E227" s="26" t="s">
        <v>285</v>
      </c>
      <c r="F227" s="4" t="s">
        <v>466</v>
      </c>
      <c r="G227" s="20" t="s">
        <v>56</v>
      </c>
      <c r="H227" s="27" t="n">
        <v>0.583333333333333</v>
      </c>
      <c r="I227" s="27" t="n">
        <v>0.75</v>
      </c>
      <c r="J227" s="22" t="n">
        <v>21</v>
      </c>
      <c r="K227" s="29"/>
      <c r="L227" s="23" t="str">
        <f aca="false" t="array" ref="L227:L227">_xlfn.TEXTJOIN(", ",TRUE(),TEXT(H227+_xlfn.SEQUENCE(HOUR(I227-H227),1,0,1)/24,"hh:mm:ss") &amp; "-" &amp; TEXT(H227+_xlfn.SEQUENCE(HOUR(I227-H227),1,1,1)/24,"hh:mm:ss"))</f>
        <v>14:00:00-15:00:00, 15:00:00-16:00:00, 16:00:00-17:00:00, 17:00:00-18:00:00</v>
      </c>
      <c r="M227" s="1" t="str">
        <f aca="false">IF(F227="","Não alocada","Alocada")</f>
        <v>Alocada</v>
      </c>
      <c r="N227" s="17" t="s">
        <v>23</v>
      </c>
      <c r="O227" s="17" t="s">
        <v>24</v>
      </c>
    </row>
    <row r="228" customFormat="false" ht="15" hidden="false" customHeight="false" outlineLevel="0" collapsed="false">
      <c r="A228" s="18" t="s">
        <v>82</v>
      </c>
      <c r="B228" s="26" t="s">
        <v>471</v>
      </c>
      <c r="C228" s="26" t="s">
        <v>472</v>
      </c>
      <c r="D228" s="19" t="s">
        <v>19</v>
      </c>
      <c r="E228" s="26" t="s">
        <v>473</v>
      </c>
      <c r="F228" s="4" t="s">
        <v>466</v>
      </c>
      <c r="G228" s="20" t="s">
        <v>45</v>
      </c>
      <c r="H228" s="27" t="n">
        <v>0.583333333333333</v>
      </c>
      <c r="I228" s="27" t="n">
        <v>0.75</v>
      </c>
      <c r="J228" s="22" t="n">
        <v>19</v>
      </c>
      <c r="K228" s="29"/>
      <c r="L228" s="23" t="str">
        <f aca="false" t="array" ref="L228:L228">_xlfn.TEXTJOIN(", ",TRUE(),TEXT(H228+_xlfn.SEQUENCE(HOUR(I228-H228),1,0,1)/24,"hh:mm:ss") &amp; "-" &amp; TEXT(H228+_xlfn.SEQUENCE(HOUR(I228-H228),1,1,1)/24,"hh:mm:ss"))</f>
        <v>14:00:00-15:00:00, 15:00:00-16:00:00, 16:00:00-17:00:00, 17:00:00-18:00:00</v>
      </c>
      <c r="M228" s="1" t="str">
        <f aca="false">IF(F228="","Não alocada","Alocada")</f>
        <v>Alocada</v>
      </c>
      <c r="N228" s="17" t="s">
        <v>23</v>
      </c>
      <c r="O228" s="17" t="s">
        <v>24</v>
      </c>
    </row>
    <row r="229" customFormat="false" ht="15" hidden="false" customHeight="false" outlineLevel="0" collapsed="false">
      <c r="A229" s="18" t="s">
        <v>92</v>
      </c>
      <c r="B229" s="32" t="s">
        <v>474</v>
      </c>
      <c r="C229" s="32" t="s">
        <v>475</v>
      </c>
      <c r="D229" s="19" t="s">
        <v>19</v>
      </c>
      <c r="E229" s="32" t="s">
        <v>476</v>
      </c>
      <c r="F229" s="4" t="s">
        <v>466</v>
      </c>
      <c r="G229" s="20" t="s">
        <v>34</v>
      </c>
      <c r="H229" s="34" t="s">
        <v>154</v>
      </c>
      <c r="I229" s="34" t="s">
        <v>156</v>
      </c>
      <c r="J229" s="22" t="n">
        <v>20</v>
      </c>
      <c r="K229" s="29"/>
      <c r="L229" s="23" t="str">
        <f aca="false" t="array" ref="L229:L229">_xlfn.TEXTJOIN(", ",TRUE(),TEXT(H229+_xlfn.SEQUENCE(HOUR(I229-H229),1,0,1)/24,"hh:mm:ss") &amp; "-" &amp; TEXT(H229+_xlfn.SEQUENCE(HOUR(I229-H229),1,1,1)/24,"hh:mm:ss"))</f>
        <v>10:00:00-11:00:00, 11:00:00-12:00:00</v>
      </c>
      <c r="M229" s="1" t="str">
        <f aca="false">IF(F229="","Não alocada","Alocada")</f>
        <v>Alocada</v>
      </c>
      <c r="N229" s="17" t="s">
        <v>23</v>
      </c>
      <c r="O229" s="17" t="s">
        <v>24</v>
      </c>
    </row>
    <row r="230" customFormat="false" ht="15" hidden="false" customHeight="false" outlineLevel="0" collapsed="false">
      <c r="A230" s="18" t="s">
        <v>92</v>
      </c>
      <c r="B230" s="32" t="s">
        <v>477</v>
      </c>
      <c r="C230" s="32" t="s">
        <v>478</v>
      </c>
      <c r="D230" s="19" t="s">
        <v>19</v>
      </c>
      <c r="E230" s="32" t="s">
        <v>364</v>
      </c>
      <c r="F230" s="4" t="s">
        <v>466</v>
      </c>
      <c r="G230" s="20" t="s">
        <v>34</v>
      </c>
      <c r="H230" s="34" t="s">
        <v>153</v>
      </c>
      <c r="I230" s="34" t="s">
        <v>154</v>
      </c>
      <c r="J230" s="22" t="n">
        <v>13</v>
      </c>
      <c r="K230" s="29"/>
      <c r="L230" s="23" t="str">
        <f aca="false" t="array" ref="L230:L230">_xlfn.TEXTJOIN(", ",TRUE(),TEXT(H230+_xlfn.SEQUENCE(HOUR(I230-H230),1,0,1)/24,"hh:mm:ss") &amp; "-" &amp; TEXT(H230+_xlfn.SEQUENCE(HOUR(I230-H230),1,1,1)/24,"hh:mm:ss"))</f>
        <v>08:00:00-09:00:00, 09:00:00-10:00:00</v>
      </c>
      <c r="M230" s="1" t="str">
        <f aca="false">IF(F230="","Não alocada","Alocada")</f>
        <v>Alocada</v>
      </c>
      <c r="N230" s="17" t="s">
        <v>23</v>
      </c>
      <c r="O230" s="17" t="s">
        <v>24</v>
      </c>
    </row>
    <row r="231" customFormat="false" ht="15" hidden="false" customHeight="false" outlineLevel="0" collapsed="false">
      <c r="A231" s="18" t="s">
        <v>35</v>
      </c>
      <c r="B231" s="24" t="s">
        <v>479</v>
      </c>
      <c r="C231" s="24" t="s">
        <v>480</v>
      </c>
      <c r="D231" s="19" t="s">
        <v>27</v>
      </c>
      <c r="E231" s="24" t="s">
        <v>481</v>
      </c>
      <c r="F231" s="4" t="s">
        <v>482</v>
      </c>
      <c r="G231" s="45" t="s">
        <v>117</v>
      </c>
      <c r="H231" s="25" t="n">
        <v>0.416666666666667</v>
      </c>
      <c r="I231" s="25" t="n">
        <v>0.5</v>
      </c>
      <c r="J231" s="22" t="n">
        <v>13</v>
      </c>
      <c r="K231" s="19" t="s">
        <v>117</v>
      </c>
      <c r="L231" s="23" t="str">
        <f aca="false" t="array" ref="L231:L231">_xlfn.TEXTJOIN(", ",TRUE(),TEXT(H231+_xlfn.SEQUENCE(HOUR(I231-H231),1,0,1)/24,"hh:mm:ss") &amp; "-" &amp; TEXT(H231+_xlfn.SEQUENCE(HOUR(I231-H231),1,1,1)/24,"hh:mm:ss"))</f>
        <v>10:00:00-11:00:00, 11:00:00-12:00:00</v>
      </c>
      <c r="M231" s="1" t="str">
        <f aca="false">IF(F231="","Não alocada","Alocada")</f>
        <v>Alocada</v>
      </c>
      <c r="N231" s="17" t="s">
        <v>23</v>
      </c>
      <c r="O231" s="17" t="s">
        <v>24</v>
      </c>
    </row>
    <row r="232" customFormat="false" ht="15" hidden="false" customHeight="false" outlineLevel="0" collapsed="false">
      <c r="A232" s="18" t="s">
        <v>82</v>
      </c>
      <c r="B232" s="30" t="s">
        <v>483</v>
      </c>
      <c r="C232" s="30" t="s">
        <v>484</v>
      </c>
      <c r="D232" s="19" t="s">
        <v>19</v>
      </c>
      <c r="E232" s="26" t="s">
        <v>485</v>
      </c>
      <c r="F232" s="4" t="s">
        <v>482</v>
      </c>
      <c r="G232" s="20" t="s">
        <v>34</v>
      </c>
      <c r="H232" s="27" t="n">
        <v>0.416666666666667</v>
      </c>
      <c r="I232" s="27" t="n">
        <v>0.5</v>
      </c>
      <c r="J232" s="22" t="n">
        <v>11</v>
      </c>
      <c r="K232" s="29"/>
      <c r="L232" s="23" t="str">
        <f aca="false" t="array" ref="L232:L232">_xlfn.TEXTJOIN(", ",TRUE(),TEXT(H232+_xlfn.SEQUENCE(HOUR(I232-H232),1,0,1)/24,"hh:mm:ss") &amp; "-" &amp; TEXT(H232+_xlfn.SEQUENCE(HOUR(I232-H232),1,1,1)/24,"hh:mm:ss"))</f>
        <v>10:00:00-11:00:00, 11:00:00-12:00:00</v>
      </c>
      <c r="M232" s="1" t="str">
        <f aca="false">IF(F232="","Não alocada","Alocada")</f>
        <v>Alocada</v>
      </c>
      <c r="N232" s="17" t="s">
        <v>23</v>
      </c>
      <c r="O232" s="17" t="s">
        <v>24</v>
      </c>
    </row>
    <row r="233" customFormat="false" ht="15" hidden="false" customHeight="false" outlineLevel="0" collapsed="false">
      <c r="A233" s="18" t="s">
        <v>92</v>
      </c>
      <c r="B233" s="32" t="s">
        <v>486</v>
      </c>
      <c r="C233" s="32" t="s">
        <v>487</v>
      </c>
      <c r="D233" s="19" t="s">
        <v>27</v>
      </c>
      <c r="E233" s="32" t="s">
        <v>488</v>
      </c>
      <c r="F233" s="4" t="s">
        <v>482</v>
      </c>
      <c r="G233" s="20" t="s">
        <v>22</v>
      </c>
      <c r="H233" s="33" t="n">
        <v>0.333333333333333</v>
      </c>
      <c r="I233" s="33" t="n">
        <v>0.416666666666667</v>
      </c>
      <c r="J233" s="22" t="n">
        <v>17</v>
      </c>
      <c r="K233" s="29"/>
      <c r="L233" s="23" t="str">
        <f aca="false" t="array" ref="L233:L233">_xlfn.TEXTJOIN(", ",TRUE(),TEXT(H233+_xlfn.SEQUENCE(HOUR(I233-H233),1,0,1)/24,"hh:mm:ss") &amp; "-" &amp; TEXT(H233+_xlfn.SEQUENCE(HOUR(I233-H233),1,1,1)/24,"hh:mm:ss"))</f>
        <v>08:00:00-09:00:00, 09:00:00-10:00:00</v>
      </c>
      <c r="M233" s="1" t="str">
        <f aca="false">IF(F233="","Não alocada","Alocada")</f>
        <v>Alocada</v>
      </c>
      <c r="N233" s="17" t="s">
        <v>23</v>
      </c>
      <c r="O233" s="17" t="s">
        <v>24</v>
      </c>
    </row>
    <row r="234" customFormat="false" ht="15" hidden="false" customHeight="false" outlineLevel="0" collapsed="false">
      <c r="A234" s="18" t="s">
        <v>92</v>
      </c>
      <c r="B234" s="32" t="s">
        <v>489</v>
      </c>
      <c r="C234" s="32" t="s">
        <v>490</v>
      </c>
      <c r="D234" s="19" t="s">
        <v>19</v>
      </c>
      <c r="E234" s="32" t="s">
        <v>491</v>
      </c>
      <c r="F234" s="4" t="s">
        <v>482</v>
      </c>
      <c r="G234" s="20" t="s">
        <v>213</v>
      </c>
      <c r="H234" s="33" t="n">
        <v>0.666666666666667</v>
      </c>
      <c r="I234" s="33" t="n">
        <v>0.75</v>
      </c>
      <c r="J234" s="22" t="n">
        <v>14</v>
      </c>
      <c r="K234" s="29"/>
      <c r="L234" s="23" t="str">
        <f aca="false" t="array" ref="L234:L234">_xlfn.TEXTJOIN(", ",TRUE(),TEXT(H234+_xlfn.SEQUENCE(HOUR(I234-H234),1,0,1)/24,"hh:mm:ss") &amp; "-" &amp; TEXT(H234+_xlfn.SEQUENCE(HOUR(I234-H234),1,1,1)/24,"hh:mm:ss"))</f>
        <v>16:00:00-17:00:00, 17:00:00-18:00:00</v>
      </c>
      <c r="M234" s="1" t="str">
        <f aca="false">IF(F234="","Não alocada","Alocada")</f>
        <v>Alocada</v>
      </c>
      <c r="N234" s="17" t="s">
        <v>23</v>
      </c>
      <c r="O234" s="17" t="s">
        <v>24</v>
      </c>
    </row>
    <row r="235" customFormat="false" ht="15" hidden="false" customHeight="false" outlineLevel="0" collapsed="false">
      <c r="A235" s="18" t="s">
        <v>92</v>
      </c>
      <c r="B235" s="32" t="s">
        <v>492</v>
      </c>
      <c r="C235" s="32" t="s">
        <v>493</v>
      </c>
      <c r="D235" s="19" t="s">
        <v>27</v>
      </c>
      <c r="E235" s="32" t="s">
        <v>494</v>
      </c>
      <c r="F235" s="4" t="s">
        <v>482</v>
      </c>
      <c r="G235" s="20" t="s">
        <v>34</v>
      </c>
      <c r="H235" s="34" t="s">
        <v>153</v>
      </c>
      <c r="I235" s="34" t="s">
        <v>154</v>
      </c>
      <c r="J235" s="22" t="n">
        <v>16</v>
      </c>
      <c r="K235" s="29"/>
      <c r="L235" s="23" t="str">
        <f aca="false" t="array" ref="L235:L235">_xlfn.TEXTJOIN(", ",TRUE(),TEXT(H235+_xlfn.SEQUENCE(HOUR(I235-H235),1,0,1)/24,"hh:mm:ss") &amp; "-" &amp; TEXT(H235+_xlfn.SEQUENCE(HOUR(I235-H235),1,1,1)/24,"hh:mm:ss"))</f>
        <v>08:00:00-09:00:00, 09:00:00-10:00:00</v>
      </c>
      <c r="M235" s="1" t="str">
        <f aca="false">IF(F235="","Não alocada","Alocada")</f>
        <v>Alocada</v>
      </c>
      <c r="N235" s="17" t="s">
        <v>23</v>
      </c>
      <c r="O235" s="17" t="s">
        <v>24</v>
      </c>
    </row>
    <row r="236" customFormat="false" ht="15" hidden="false" customHeight="false" outlineLevel="0" collapsed="false">
      <c r="A236" s="18" t="s">
        <v>35</v>
      </c>
      <c r="B236" s="24" t="s">
        <v>495</v>
      </c>
      <c r="C236" s="24" t="s">
        <v>496</v>
      </c>
      <c r="D236" s="19" t="s">
        <v>19</v>
      </c>
      <c r="E236" s="24" t="s">
        <v>497</v>
      </c>
      <c r="F236" s="4" t="s">
        <v>498</v>
      </c>
      <c r="G236" s="20" t="s">
        <v>34</v>
      </c>
      <c r="H236" s="25" t="n">
        <v>0.416666666666667</v>
      </c>
      <c r="I236" s="25" t="n">
        <v>0.5</v>
      </c>
      <c r="J236" s="22" t="n">
        <v>19</v>
      </c>
      <c r="K236" s="19" t="s">
        <v>34</v>
      </c>
      <c r="L236" s="23" t="str">
        <f aca="false" t="array" ref="L236:L236">_xlfn.TEXTJOIN(", ",TRUE(),TEXT(H236+_xlfn.SEQUENCE(HOUR(I236-H236),1,0,1)/24,"hh:mm:ss") &amp; "-" &amp; TEXT(H236+_xlfn.SEQUENCE(HOUR(I236-H236),1,1,1)/24,"hh:mm:ss"))</f>
        <v>10:00:00-11:00:00, 11:00:00-12:00:00</v>
      </c>
      <c r="M236" s="1" t="str">
        <f aca="false">IF(F236="","Não alocada","Alocada")</f>
        <v>Alocada</v>
      </c>
      <c r="N236" s="17" t="s">
        <v>23</v>
      </c>
      <c r="O236" s="17" t="s">
        <v>24</v>
      </c>
    </row>
    <row r="237" customFormat="false" ht="15" hidden="false" customHeight="false" outlineLevel="0" collapsed="false">
      <c r="A237" s="18" t="s">
        <v>52</v>
      </c>
      <c r="B237" s="26" t="s">
        <v>499</v>
      </c>
      <c r="C237" s="26" t="s">
        <v>500</v>
      </c>
      <c r="D237" s="19" t="s">
        <v>19</v>
      </c>
      <c r="E237" s="26" t="s">
        <v>501</v>
      </c>
      <c r="F237" s="4" t="s">
        <v>498</v>
      </c>
      <c r="G237" s="20" t="s">
        <v>29</v>
      </c>
      <c r="H237" s="27" t="n">
        <v>0.666666666666667</v>
      </c>
      <c r="I237" s="27" t="n">
        <v>0.75</v>
      </c>
      <c r="J237" s="22" t="n">
        <v>9</v>
      </c>
      <c r="K237" s="19" t="s">
        <v>29</v>
      </c>
      <c r="L237" s="23" t="str">
        <f aca="false" t="array" ref="L237:L237">_xlfn.TEXTJOIN(", ",TRUE(),TEXT(H237+_xlfn.SEQUENCE(HOUR(I237-H237),1,0,1)/24,"hh:mm:ss") &amp; "-" &amp; TEXT(H237+_xlfn.SEQUENCE(HOUR(I237-H237),1,1,1)/24,"hh:mm:ss"))</f>
        <v>16:00:00-17:00:00, 17:00:00-18:00:00</v>
      </c>
      <c r="M237" s="1" t="str">
        <f aca="false">IF(F237="","Não alocada","Alocada")</f>
        <v>Alocada</v>
      </c>
      <c r="N237" s="17" t="s">
        <v>23</v>
      </c>
      <c r="O237" s="17" t="s">
        <v>24</v>
      </c>
    </row>
    <row r="238" customFormat="false" ht="15" hidden="false" customHeight="false" outlineLevel="0" collapsed="false">
      <c r="A238" s="18" t="s">
        <v>52</v>
      </c>
      <c r="B238" s="26" t="s">
        <v>499</v>
      </c>
      <c r="C238" s="26" t="s">
        <v>500</v>
      </c>
      <c r="D238" s="19" t="s">
        <v>73</v>
      </c>
      <c r="E238" s="26" t="s">
        <v>501</v>
      </c>
      <c r="F238" s="4" t="s">
        <v>498</v>
      </c>
      <c r="G238" s="20" t="s">
        <v>29</v>
      </c>
      <c r="H238" s="27" t="n">
        <v>0.416666666666667</v>
      </c>
      <c r="I238" s="27" t="n">
        <v>0.5</v>
      </c>
      <c r="J238" s="22" t="n">
        <v>9</v>
      </c>
      <c r="K238" s="19" t="s">
        <v>29</v>
      </c>
      <c r="L238" s="23" t="str">
        <f aca="false" t="array" ref="L238:L238">_xlfn.TEXTJOIN(", ",TRUE(),TEXT(H238+_xlfn.SEQUENCE(HOUR(I238-H238),1,0,1)/24,"hh:mm:ss") &amp; "-" &amp; TEXT(H238+_xlfn.SEQUENCE(HOUR(I238-H238),1,1,1)/24,"hh:mm:ss"))</f>
        <v>10:00:00-11:00:00, 11:00:00-12:00:00</v>
      </c>
      <c r="M238" s="1" t="str">
        <f aca="false">IF(F238="","Não alocada","Alocada")</f>
        <v>Alocada</v>
      </c>
      <c r="N238" s="17" t="s">
        <v>23</v>
      </c>
      <c r="O238" s="17" t="s">
        <v>24</v>
      </c>
    </row>
    <row r="239" customFormat="false" ht="15" hidden="false" customHeight="false" outlineLevel="0" collapsed="false">
      <c r="A239" s="18" t="s">
        <v>52</v>
      </c>
      <c r="B239" s="26" t="s">
        <v>502</v>
      </c>
      <c r="C239" s="26" t="s">
        <v>503</v>
      </c>
      <c r="D239" s="19" t="s">
        <v>19</v>
      </c>
      <c r="E239" s="26" t="s">
        <v>348</v>
      </c>
      <c r="F239" s="4" t="s">
        <v>498</v>
      </c>
      <c r="G239" s="20" t="s">
        <v>34</v>
      </c>
      <c r="H239" s="27" t="n">
        <v>0.666666666666667</v>
      </c>
      <c r="I239" s="27" t="n">
        <v>0.75</v>
      </c>
      <c r="J239" s="22" t="n">
        <v>33</v>
      </c>
      <c r="K239" s="19" t="s">
        <v>34</v>
      </c>
      <c r="L239" s="23" t="str">
        <f aca="false" t="array" ref="L239:L239">_xlfn.TEXTJOIN(", ",TRUE(),TEXT(H239+_xlfn.SEQUENCE(HOUR(I239-H239),1,0,1)/24,"hh:mm:ss") &amp; "-" &amp; TEXT(H239+_xlfn.SEQUENCE(HOUR(I239-H239),1,1,1)/24,"hh:mm:ss"))</f>
        <v>16:00:00-17:00:00, 17:00:00-18:00:00</v>
      </c>
      <c r="M239" s="1" t="str">
        <f aca="false">IF(F239="","Não alocada","Alocada")</f>
        <v>Alocada</v>
      </c>
      <c r="N239" s="17" t="s">
        <v>23</v>
      </c>
      <c r="O239" s="17" t="s">
        <v>24</v>
      </c>
    </row>
    <row r="240" customFormat="false" ht="15" hidden="false" customHeight="false" outlineLevel="0" collapsed="false">
      <c r="A240" s="18" t="s">
        <v>52</v>
      </c>
      <c r="B240" s="26" t="s">
        <v>502</v>
      </c>
      <c r="C240" s="26" t="s">
        <v>503</v>
      </c>
      <c r="D240" s="19" t="s">
        <v>73</v>
      </c>
      <c r="E240" s="26" t="s">
        <v>338</v>
      </c>
      <c r="F240" s="4" t="s">
        <v>498</v>
      </c>
      <c r="G240" s="20" t="s">
        <v>34</v>
      </c>
      <c r="H240" s="27" t="n">
        <v>0.416666666666667</v>
      </c>
      <c r="I240" s="27" t="n">
        <v>0.5</v>
      </c>
      <c r="J240" s="22" t="n">
        <v>33</v>
      </c>
      <c r="K240" s="19" t="s">
        <v>34</v>
      </c>
      <c r="L240" s="23" t="str">
        <f aca="false" t="array" ref="L240:L240">_xlfn.TEXTJOIN(", ",TRUE(),TEXT(H240+_xlfn.SEQUENCE(HOUR(I240-H240),1,0,1)/24,"hh:mm:ss") &amp; "-" &amp; TEXT(H240+_xlfn.SEQUENCE(HOUR(I240-H240),1,1,1)/24,"hh:mm:ss"))</f>
        <v>10:00:00-11:00:00, 11:00:00-12:00:00</v>
      </c>
      <c r="M240" s="1" t="str">
        <f aca="false">IF(F240="","Não alocada","Alocada")</f>
        <v>Alocada</v>
      </c>
      <c r="N240" s="17" t="s">
        <v>23</v>
      </c>
      <c r="O240" s="17" t="s">
        <v>24</v>
      </c>
    </row>
    <row r="241" customFormat="false" ht="15" hidden="false" customHeight="false" outlineLevel="0" collapsed="false">
      <c r="A241" s="18" t="s">
        <v>52</v>
      </c>
      <c r="B241" s="26" t="s">
        <v>504</v>
      </c>
      <c r="C241" s="26" t="s">
        <v>505</v>
      </c>
      <c r="D241" s="19" t="s">
        <v>27</v>
      </c>
      <c r="E241" s="26" t="s">
        <v>111</v>
      </c>
      <c r="F241" s="4" t="s">
        <v>498</v>
      </c>
      <c r="G241" s="20" t="s">
        <v>34</v>
      </c>
      <c r="H241" s="27" t="n">
        <v>0.583333333333333</v>
      </c>
      <c r="I241" s="27" t="n">
        <v>0.666666666666667</v>
      </c>
      <c r="J241" s="22" t="n">
        <v>25</v>
      </c>
      <c r="K241" s="19" t="s">
        <v>34</v>
      </c>
      <c r="L241" s="23" t="str">
        <f aca="false" t="array" ref="L241:L241">_xlfn.TEXTJOIN(", ",TRUE(),TEXT(H241+_xlfn.SEQUENCE(HOUR(I241-H241),1,0,1)/24,"hh:mm:ss") &amp; "-" &amp; TEXT(H241+_xlfn.SEQUENCE(HOUR(I241-H241),1,1,1)/24,"hh:mm:ss"))</f>
        <v>14:00:00-15:00:00, 15:00:00-16:00:00</v>
      </c>
      <c r="M241" s="1" t="str">
        <f aca="false">IF(F241="","Não alocada","Alocada")</f>
        <v>Alocada</v>
      </c>
      <c r="N241" s="17" t="s">
        <v>23</v>
      </c>
      <c r="O241" s="17" t="s">
        <v>24</v>
      </c>
    </row>
    <row r="242" customFormat="false" ht="15" hidden="false" customHeight="false" outlineLevel="0" collapsed="false">
      <c r="A242" s="18" t="s">
        <v>90</v>
      </c>
      <c r="B242" s="31" t="s">
        <v>506</v>
      </c>
      <c r="C242" s="31" t="s">
        <v>507</v>
      </c>
      <c r="D242" s="19" t="s">
        <v>19</v>
      </c>
      <c r="E242" s="31" t="s">
        <v>508</v>
      </c>
      <c r="F242" s="4" t="s">
        <v>498</v>
      </c>
      <c r="G242" s="20" t="s">
        <v>66</v>
      </c>
      <c r="H242" s="27" t="n">
        <v>0.333333333333333</v>
      </c>
      <c r="I242" s="27" t="n">
        <v>0.458333333333333</v>
      </c>
      <c r="J242" s="22" t="n">
        <v>28</v>
      </c>
      <c r="K242" s="29"/>
      <c r="L242" s="23" t="str">
        <f aca="false" t="array" ref="L242:L242">_xlfn.TEXTJOIN(", ",TRUE(),TEXT(H242+_xlfn.SEQUENCE(HOUR(I242-H242),1,0,1)/24,"hh:mm:ss") &amp; "-" &amp; TEXT(H242+_xlfn.SEQUENCE(HOUR(I242-H242),1,1,1)/24,"hh:mm:ss"))</f>
        <v>08:00:00-09:00:00, 09:00:00-10:00:00, 10:00:00-11:00:00</v>
      </c>
      <c r="M242" s="1" t="str">
        <f aca="false">IF(F242="","Não alocada","Alocada")</f>
        <v>Alocada</v>
      </c>
      <c r="N242" s="17" t="s">
        <v>23</v>
      </c>
      <c r="O242" s="17" t="s">
        <v>24</v>
      </c>
    </row>
    <row r="243" customFormat="false" ht="15" hidden="false" customHeight="false" outlineLevel="0" collapsed="false">
      <c r="A243" s="18" t="s">
        <v>16</v>
      </c>
      <c r="B243" s="19" t="s">
        <v>509</v>
      </c>
      <c r="C243" s="19" t="s">
        <v>510</v>
      </c>
      <c r="D243" s="19" t="s">
        <v>511</v>
      </c>
      <c r="E243" s="19" t="s">
        <v>185</v>
      </c>
      <c r="F243" s="4" t="s">
        <v>512</v>
      </c>
      <c r="G243" s="20" t="s">
        <v>29</v>
      </c>
      <c r="H243" s="21" t="n">
        <v>0.583333333333333</v>
      </c>
      <c r="I243" s="21" t="n">
        <v>0.75</v>
      </c>
      <c r="J243" s="22" t="n">
        <v>20</v>
      </c>
      <c r="K243" s="19" t="s">
        <v>29</v>
      </c>
      <c r="L243" s="23" t="str">
        <f aca="false" t="array" ref="L243:L243">_xlfn.TEXTJOIN(", ",TRUE(),TEXT(H243+_xlfn.SEQUENCE(HOUR(I243-H243),1,0,1)/24,"hh:mm:ss") &amp; "-" &amp; TEXT(H243+_xlfn.SEQUENCE(HOUR(I243-H243),1,1,1)/24,"hh:mm:ss"))</f>
        <v>14:00:00-15:00:00, 15:00:00-16:00:00, 16:00:00-17:00:00, 17:00:00-18:00:00</v>
      </c>
      <c r="M243" s="1" t="str">
        <f aca="false">IF(F243="","Não alocada","Alocada")</f>
        <v>Alocada</v>
      </c>
      <c r="N243" s="17" t="s">
        <v>23</v>
      </c>
      <c r="O243" s="17" t="s">
        <v>24</v>
      </c>
    </row>
    <row r="244" customFormat="false" ht="15" hidden="false" customHeight="false" outlineLevel="0" collapsed="false">
      <c r="A244" s="18" t="s">
        <v>16</v>
      </c>
      <c r="B244" s="19" t="s">
        <v>509</v>
      </c>
      <c r="C244" s="19" t="s">
        <v>510</v>
      </c>
      <c r="D244" s="19" t="s">
        <v>513</v>
      </c>
      <c r="E244" s="19" t="s">
        <v>185</v>
      </c>
      <c r="F244" s="4" t="s">
        <v>512</v>
      </c>
      <c r="G244" s="20" t="s">
        <v>66</v>
      </c>
      <c r="H244" s="21" t="n">
        <v>0.583333333333333</v>
      </c>
      <c r="I244" s="21" t="n">
        <v>0.75</v>
      </c>
      <c r="J244" s="22" t="n">
        <v>20</v>
      </c>
      <c r="K244" s="19" t="s">
        <v>66</v>
      </c>
      <c r="L244" s="23" t="str">
        <f aca="false" t="array" ref="L244:L244">_xlfn.TEXTJOIN(", ",TRUE(),TEXT(H244+_xlfn.SEQUENCE(HOUR(I244-H244),1,0,1)/24,"hh:mm:ss") &amp; "-" &amp; TEXT(H244+_xlfn.SEQUENCE(HOUR(I244-H244),1,1,1)/24,"hh:mm:ss"))</f>
        <v>14:00:00-15:00:00, 15:00:00-16:00:00, 16:00:00-17:00:00, 17:00:00-18:00:00</v>
      </c>
      <c r="M244" s="1" t="str">
        <f aca="false">IF(F244="","Não alocada","Alocada")</f>
        <v>Alocada</v>
      </c>
      <c r="N244" s="17" t="s">
        <v>23</v>
      </c>
      <c r="O244" s="17" t="s">
        <v>24</v>
      </c>
    </row>
    <row r="245" customFormat="false" ht="15" hidden="false" customHeight="false" outlineLevel="0" collapsed="false">
      <c r="A245" s="18" t="s">
        <v>52</v>
      </c>
      <c r="B245" s="26" t="s">
        <v>509</v>
      </c>
      <c r="C245" s="26" t="s">
        <v>510</v>
      </c>
      <c r="D245" s="19" t="s">
        <v>41</v>
      </c>
      <c r="E245" s="26" t="s">
        <v>514</v>
      </c>
      <c r="F245" s="4" t="s">
        <v>512</v>
      </c>
      <c r="G245" s="40" t="s">
        <v>515</v>
      </c>
      <c r="H245" s="27" t="n">
        <v>0.333333333333333</v>
      </c>
      <c r="I245" s="27" t="n">
        <v>0.5</v>
      </c>
      <c r="J245" s="22" t="n">
        <v>20</v>
      </c>
      <c r="K245" s="19" t="s">
        <v>515</v>
      </c>
      <c r="L245" s="23" t="str">
        <f aca="false" t="array" ref="L245:L245">_xlfn.TEXTJOIN(", ",TRUE(),TEXT(H245+_xlfn.SEQUENCE(HOUR(I245-H245),1,0,1)/24,"hh:mm:ss") &amp; "-" &amp; TEXT(H245+_xlfn.SEQUENCE(HOUR(I245-H245),1,1,1)/24,"hh:mm:ss"))</f>
        <v>08:00:00-09:00:00, 09:00:00-10:00:00, 10:00:00-11:00:00, 11:00:00-12:00:00</v>
      </c>
      <c r="M245" s="1" t="str">
        <f aca="false">IF(F245="","Não alocada","Alocada")</f>
        <v>Alocada</v>
      </c>
      <c r="N245" s="17" t="s">
        <v>23</v>
      </c>
      <c r="O245" s="17" t="s">
        <v>24</v>
      </c>
    </row>
    <row r="246" customFormat="false" ht="15" hidden="false" customHeight="false" outlineLevel="0" collapsed="false">
      <c r="A246" s="18" t="s">
        <v>52</v>
      </c>
      <c r="B246" s="26" t="s">
        <v>509</v>
      </c>
      <c r="C246" s="26" t="s">
        <v>510</v>
      </c>
      <c r="D246" s="19" t="s">
        <v>27</v>
      </c>
      <c r="E246" s="26" t="s">
        <v>514</v>
      </c>
      <c r="F246" s="4" t="s">
        <v>512</v>
      </c>
      <c r="G246" s="20" t="s">
        <v>29</v>
      </c>
      <c r="H246" s="27" t="n">
        <v>0.333333333333333</v>
      </c>
      <c r="I246" s="27" t="n">
        <v>0.416666666666667</v>
      </c>
      <c r="J246" s="22" t="n">
        <v>20</v>
      </c>
      <c r="K246" s="19" t="s">
        <v>29</v>
      </c>
      <c r="L246" s="23" t="str">
        <f aca="false" t="array" ref="L246:L246">_xlfn.TEXTJOIN(", ",TRUE(),TEXT(H246+_xlfn.SEQUENCE(HOUR(I246-H246),1,0,1)/24,"hh:mm:ss") &amp; "-" &amp; TEXT(H246+_xlfn.SEQUENCE(HOUR(I246-H246),1,1,1)/24,"hh:mm:ss"))</f>
        <v>08:00:00-09:00:00, 09:00:00-10:00:00</v>
      </c>
      <c r="M246" s="1" t="str">
        <f aca="false">IF(F246="","Não alocada","Alocada")</f>
        <v>Alocada</v>
      </c>
      <c r="N246" s="17" t="s">
        <v>23</v>
      </c>
      <c r="O246" s="17" t="s">
        <v>24</v>
      </c>
    </row>
    <row r="247" customFormat="false" ht="15" hidden="false" customHeight="false" outlineLevel="0" collapsed="false">
      <c r="A247" s="18" t="s">
        <v>52</v>
      </c>
      <c r="B247" s="26" t="s">
        <v>509</v>
      </c>
      <c r="C247" s="26" t="s">
        <v>510</v>
      </c>
      <c r="D247" s="19" t="s">
        <v>60</v>
      </c>
      <c r="E247" s="26" t="s">
        <v>514</v>
      </c>
      <c r="F247" s="4" t="s">
        <v>512</v>
      </c>
      <c r="G247" s="20" t="s">
        <v>29</v>
      </c>
      <c r="H247" s="27" t="n">
        <v>0.416666666666667</v>
      </c>
      <c r="I247" s="27" t="n">
        <v>0.5</v>
      </c>
      <c r="J247" s="22" t="n">
        <v>20</v>
      </c>
      <c r="K247" s="19" t="s">
        <v>29</v>
      </c>
      <c r="L247" s="23" t="str">
        <f aca="false" t="array" ref="L247:L247">_xlfn.TEXTJOIN(", ",TRUE(),TEXT(H247+_xlfn.SEQUENCE(HOUR(I247-H247),1,0,1)/24,"hh:mm:ss") &amp; "-" &amp; TEXT(H247+_xlfn.SEQUENCE(HOUR(I247-H247),1,1,1)/24,"hh:mm:ss"))</f>
        <v>10:00:00-11:00:00, 11:00:00-12:00:00</v>
      </c>
      <c r="M247" s="1" t="str">
        <f aca="false">IF(F247="","Não alocada","Alocada")</f>
        <v>Alocada</v>
      </c>
      <c r="N247" s="17" t="s">
        <v>23</v>
      </c>
      <c r="O247" s="17" t="s">
        <v>24</v>
      </c>
    </row>
    <row r="248" customFormat="false" ht="15" hidden="false" customHeight="false" outlineLevel="0" collapsed="false">
      <c r="A248" s="28" t="s">
        <v>69</v>
      </c>
      <c r="B248" s="26" t="s">
        <v>509</v>
      </c>
      <c r="C248" s="26" t="s">
        <v>516</v>
      </c>
      <c r="D248" s="19" t="s">
        <v>57</v>
      </c>
      <c r="E248" s="26" t="s">
        <v>517</v>
      </c>
      <c r="F248" s="4" t="s">
        <v>512</v>
      </c>
      <c r="G248" s="20" t="s">
        <v>257</v>
      </c>
      <c r="H248" s="27" t="n">
        <v>0.333333333333333</v>
      </c>
      <c r="I248" s="27" t="n">
        <v>0.5</v>
      </c>
      <c r="J248" s="22" t="n">
        <v>20</v>
      </c>
      <c r="K248" s="29"/>
      <c r="L248" s="23" t="str">
        <f aca="false" t="array" ref="L248:L248">_xlfn.TEXTJOIN(", ",TRUE(),TEXT(H248+_xlfn.SEQUENCE(HOUR(I248-H248),1,0,1)/24,"hh:mm:ss") &amp; "-" &amp; TEXT(H248+_xlfn.SEQUENCE(HOUR(I248-H248),1,1,1)/24,"hh:mm:ss"))</f>
        <v>08:00:00-09:00:00, 09:00:00-10:00:00, 10:00:00-11:00:00, 11:00:00-12:00:00</v>
      </c>
      <c r="M248" s="1" t="str">
        <f aca="false">IF(F248="","Não alocada","Alocada")</f>
        <v>Alocada</v>
      </c>
      <c r="N248" s="17" t="s">
        <v>23</v>
      </c>
      <c r="O248" s="17" t="s">
        <v>24</v>
      </c>
    </row>
    <row r="249" customFormat="false" ht="15" hidden="false" customHeight="false" outlineLevel="0" collapsed="false">
      <c r="A249" s="28" t="s">
        <v>69</v>
      </c>
      <c r="B249" s="26" t="s">
        <v>509</v>
      </c>
      <c r="C249" s="26" t="s">
        <v>516</v>
      </c>
      <c r="D249" s="19" t="s">
        <v>48</v>
      </c>
      <c r="E249" s="26" t="s">
        <v>518</v>
      </c>
      <c r="F249" s="4" t="s">
        <v>512</v>
      </c>
      <c r="G249" s="20" t="s">
        <v>45</v>
      </c>
      <c r="H249" s="27" t="n">
        <v>0.333333333333333</v>
      </c>
      <c r="I249" s="27" t="n">
        <v>0.5</v>
      </c>
      <c r="J249" s="22" t="n">
        <v>20</v>
      </c>
      <c r="K249" s="29"/>
      <c r="L249" s="23" t="str">
        <f aca="false" t="array" ref="L249:L249">_xlfn.TEXTJOIN(", ",TRUE(),TEXT(H249+_xlfn.SEQUENCE(HOUR(I249-H249),1,0,1)/24,"hh:mm:ss") &amp; "-" &amp; TEXT(H249+_xlfn.SEQUENCE(HOUR(I249-H249),1,1,1)/24,"hh:mm:ss"))</f>
        <v>08:00:00-09:00:00, 09:00:00-10:00:00, 10:00:00-11:00:00, 11:00:00-12:00:00</v>
      </c>
      <c r="M249" s="1" t="str">
        <f aca="false">IF(F249="","Não alocada","Alocada")</f>
        <v>Alocada</v>
      </c>
      <c r="N249" s="17" t="s">
        <v>23</v>
      </c>
      <c r="O249" s="17" t="s">
        <v>24</v>
      </c>
    </row>
    <row r="250" customFormat="false" ht="15" hidden="false" customHeight="false" outlineLevel="0" collapsed="false">
      <c r="A250" s="18" t="s">
        <v>75</v>
      </c>
      <c r="B250" s="26" t="s">
        <v>509</v>
      </c>
      <c r="C250" s="30" t="s">
        <v>510</v>
      </c>
      <c r="D250" s="19" t="s">
        <v>76</v>
      </c>
      <c r="E250" s="26"/>
      <c r="F250" s="4" t="s">
        <v>512</v>
      </c>
      <c r="G250" s="40" t="s">
        <v>515</v>
      </c>
      <c r="H250" s="27" t="n">
        <v>0.333333333333333</v>
      </c>
      <c r="I250" s="27" t="n">
        <v>0.5</v>
      </c>
      <c r="J250" s="22" t="n">
        <v>20</v>
      </c>
      <c r="K250" s="29"/>
      <c r="L250" s="23" t="str">
        <f aca="false" t="array" ref="L250:L250">_xlfn.TEXTJOIN(", ",TRUE(),TEXT(H250+_xlfn.SEQUENCE(HOUR(I250-H250),1,0,1)/24,"hh:mm:ss") &amp; "-" &amp; TEXT(H250+_xlfn.SEQUENCE(HOUR(I250-H250),1,1,1)/24,"hh:mm:ss"))</f>
        <v>08:00:00-09:00:00, 09:00:00-10:00:00, 10:00:00-11:00:00, 11:00:00-12:00:00</v>
      </c>
      <c r="M250" s="1" t="str">
        <f aca="false">IF(F250="","Não alocada","Alocada")</f>
        <v>Alocada</v>
      </c>
      <c r="N250" s="17" t="s">
        <v>23</v>
      </c>
      <c r="O250" s="17" t="s">
        <v>24</v>
      </c>
    </row>
    <row r="251" customFormat="false" ht="15" hidden="false" customHeight="false" outlineLevel="0" collapsed="false">
      <c r="A251" s="18" t="s">
        <v>75</v>
      </c>
      <c r="B251" s="26" t="s">
        <v>519</v>
      </c>
      <c r="C251" s="26" t="s">
        <v>520</v>
      </c>
      <c r="D251" s="19" t="s">
        <v>76</v>
      </c>
      <c r="E251" s="26" t="s">
        <v>220</v>
      </c>
      <c r="F251" s="4" t="s">
        <v>512</v>
      </c>
      <c r="G251" s="20" t="s">
        <v>29</v>
      </c>
      <c r="H251" s="27" t="n">
        <v>0.333333333333333</v>
      </c>
      <c r="I251" s="27" t="n">
        <v>0.416666666666667</v>
      </c>
      <c r="J251" s="22" t="n">
        <v>11</v>
      </c>
      <c r="K251" s="29"/>
      <c r="L251" s="23" t="str">
        <f aca="false" t="array" ref="L251:L251">_xlfn.TEXTJOIN(", ",TRUE(),TEXT(H251+_xlfn.SEQUENCE(HOUR(I251-H251),1,0,1)/24,"hh:mm:ss") &amp; "-" &amp; TEXT(H251+_xlfn.SEQUENCE(HOUR(I251-H251),1,1,1)/24,"hh:mm:ss"))</f>
        <v>08:00:00-09:00:00, 09:00:00-10:00:00</v>
      </c>
      <c r="M251" s="1" t="str">
        <f aca="false">IF(F251="","Não alocada","Alocada")</f>
        <v>Alocada</v>
      </c>
      <c r="N251" s="17" t="s">
        <v>23</v>
      </c>
      <c r="O251" s="17" t="s">
        <v>24</v>
      </c>
    </row>
    <row r="252" customFormat="false" ht="15" hidden="false" customHeight="false" outlineLevel="0" collapsed="false">
      <c r="A252" s="18" t="s">
        <v>75</v>
      </c>
      <c r="B252" s="26" t="s">
        <v>509</v>
      </c>
      <c r="C252" s="30" t="s">
        <v>510</v>
      </c>
      <c r="D252" s="19" t="s">
        <v>76</v>
      </c>
      <c r="E252" s="26"/>
      <c r="F252" s="4" t="s">
        <v>512</v>
      </c>
      <c r="G252" s="20" t="s">
        <v>66</v>
      </c>
      <c r="H252" s="27" t="n">
        <v>0.333333333333333</v>
      </c>
      <c r="I252" s="27" t="n">
        <v>0.5</v>
      </c>
      <c r="J252" s="22" t="n">
        <v>20</v>
      </c>
      <c r="K252" s="29"/>
      <c r="L252" s="23" t="str">
        <f aca="false" t="array" ref="L252:L252">_xlfn.TEXTJOIN(", ",TRUE(),TEXT(H252+_xlfn.SEQUENCE(HOUR(I252-H252),1,0,1)/24,"hh:mm:ss") &amp; "-" &amp; TEXT(H252+_xlfn.SEQUENCE(HOUR(I252-H252),1,1,1)/24,"hh:mm:ss"))</f>
        <v>08:00:00-09:00:00, 09:00:00-10:00:00, 10:00:00-11:00:00, 11:00:00-12:00:00</v>
      </c>
      <c r="M252" s="1" t="str">
        <f aca="false">IF(F252="","Não alocada","Alocada")</f>
        <v>Alocada</v>
      </c>
      <c r="N252" s="17" t="s">
        <v>23</v>
      </c>
      <c r="O252" s="17" t="s">
        <v>24</v>
      </c>
    </row>
    <row r="253" customFormat="false" ht="15" hidden="false" customHeight="false" outlineLevel="0" collapsed="false">
      <c r="A253" s="18" t="s">
        <v>52</v>
      </c>
      <c r="B253" s="26" t="s">
        <v>521</v>
      </c>
      <c r="C253" s="26" t="s">
        <v>207</v>
      </c>
      <c r="D253" s="19" t="s">
        <v>27</v>
      </c>
      <c r="E253" s="26" t="s">
        <v>522</v>
      </c>
      <c r="F253" s="4" t="s">
        <v>523</v>
      </c>
      <c r="G253" s="20" t="s">
        <v>34</v>
      </c>
      <c r="H253" s="27" t="n">
        <v>0.416666666666667</v>
      </c>
      <c r="I253" s="27" t="n">
        <v>0.5</v>
      </c>
      <c r="J253" s="22" t="n">
        <v>18</v>
      </c>
      <c r="K253" s="19" t="s">
        <v>34</v>
      </c>
      <c r="L253" s="23" t="str">
        <f aca="false" t="array" ref="L253:L253">_xlfn.TEXTJOIN(", ",TRUE(),TEXT(H253+_xlfn.SEQUENCE(HOUR(I253-H253),1,0,1)/24,"hh:mm:ss") &amp; "-" &amp; TEXT(H253+_xlfn.SEQUENCE(HOUR(I253-H253),1,1,1)/24,"hh:mm:ss"))</f>
        <v>10:00:00-11:00:00, 11:00:00-12:00:00</v>
      </c>
      <c r="M253" s="1" t="str">
        <f aca="false">IF(F253="","Não alocada","Alocada")</f>
        <v>Alocada</v>
      </c>
      <c r="N253" s="17" t="s">
        <v>23</v>
      </c>
      <c r="O253" s="17" t="s">
        <v>24</v>
      </c>
    </row>
    <row r="254" customFormat="false" ht="15" hidden="false" customHeight="false" outlineLevel="0" collapsed="false">
      <c r="A254" s="18" t="s">
        <v>16</v>
      </c>
      <c r="B254" s="19" t="s">
        <v>524</v>
      </c>
      <c r="C254" s="19" t="s">
        <v>525</v>
      </c>
      <c r="D254" s="19" t="s">
        <v>19</v>
      </c>
      <c r="E254" s="19" t="s">
        <v>526</v>
      </c>
      <c r="F254" s="4" t="s">
        <v>527</v>
      </c>
      <c r="G254" s="20" t="s">
        <v>29</v>
      </c>
      <c r="H254" s="21" t="n">
        <v>0.583333333333333</v>
      </c>
      <c r="I254" s="21" t="n">
        <v>0.708333333333333</v>
      </c>
      <c r="J254" s="22" t="n">
        <v>9</v>
      </c>
      <c r="K254" s="19" t="s">
        <v>29</v>
      </c>
      <c r="L254" s="23" t="str">
        <f aca="false" t="array" ref="L254:L254">_xlfn.TEXTJOIN(", ",TRUE(),TEXT(H254+_xlfn.SEQUENCE(HOUR(I254-H254),1,0,1)/24,"hh:mm:ss") &amp; "-" &amp; TEXT(H254+_xlfn.SEQUENCE(HOUR(I254-H254),1,1,1)/24,"hh:mm:ss"))</f>
        <v>14:00:00-15:00:00, 15:00:00-16:00:00, 16:00:00-17:00:00</v>
      </c>
      <c r="M254" s="1" t="str">
        <f aca="false">IF(F254="","Não alocada","Alocada")</f>
        <v>Alocada</v>
      </c>
      <c r="N254" s="17" t="s">
        <v>23</v>
      </c>
      <c r="O254" s="17" t="s">
        <v>24</v>
      </c>
    </row>
    <row r="255" customFormat="false" ht="15" hidden="false" customHeight="false" outlineLevel="0" collapsed="false">
      <c r="A255" s="18" t="s">
        <v>221</v>
      </c>
      <c r="B255" s="26" t="s">
        <v>528</v>
      </c>
      <c r="C255" s="26" t="s">
        <v>529</v>
      </c>
      <c r="D255" s="19" t="s">
        <v>19</v>
      </c>
      <c r="E255" s="26" t="s">
        <v>530</v>
      </c>
      <c r="F255" s="4" t="s">
        <v>527</v>
      </c>
      <c r="G255" s="20" t="s">
        <v>66</v>
      </c>
      <c r="H255" s="27" t="n">
        <v>0.291666666666667</v>
      </c>
      <c r="I255" s="27" t="n">
        <v>0.416666666666667</v>
      </c>
      <c r="J255" s="22" t="n">
        <v>9</v>
      </c>
      <c r="K255" s="19" t="s">
        <v>66</v>
      </c>
      <c r="L255" s="23" t="str">
        <f aca="false" t="array" ref="L255:L255">_xlfn.TEXTJOIN(", ",TRUE(),TEXT(H255+_xlfn.SEQUENCE(HOUR(I255-H255),1,0,1)/24,"hh:mm:ss") &amp; "-" &amp; TEXT(H255+_xlfn.SEQUENCE(HOUR(I255-H255),1,1,1)/24,"hh:mm:ss"))</f>
        <v>07:00:00-08:00:00, 08:00:00-09:00:00, 09:00:00-10:00:00</v>
      </c>
      <c r="M255" s="1" t="str">
        <f aca="false">IF(F255="","Não alocada","Alocada")</f>
        <v>Alocada</v>
      </c>
      <c r="N255" s="17" t="s">
        <v>23</v>
      </c>
      <c r="O255" s="17" t="s">
        <v>24</v>
      </c>
    </row>
    <row r="256" customFormat="false" ht="15" hidden="false" customHeight="false" outlineLevel="0" collapsed="false">
      <c r="A256" s="28" t="s">
        <v>69</v>
      </c>
      <c r="B256" s="26" t="s">
        <v>531</v>
      </c>
      <c r="C256" s="26" t="s">
        <v>532</v>
      </c>
      <c r="D256" s="19" t="s">
        <v>19</v>
      </c>
      <c r="E256" s="26" t="s">
        <v>193</v>
      </c>
      <c r="F256" s="4" t="s">
        <v>527</v>
      </c>
      <c r="G256" s="20" t="s">
        <v>22</v>
      </c>
      <c r="H256" s="27" t="n">
        <v>0.583333333333333</v>
      </c>
      <c r="I256" s="27" t="n">
        <v>0.666666666666667</v>
      </c>
      <c r="J256" s="22" t="n">
        <v>14</v>
      </c>
      <c r="K256" s="29"/>
      <c r="L256" s="23" t="str">
        <f aca="false" t="array" ref="L256:L256">_xlfn.TEXTJOIN(", ",TRUE(),TEXT(H256+_xlfn.SEQUENCE(HOUR(I256-H256),1,0,1)/24,"hh:mm:ss") &amp; "-" &amp; TEXT(H256+_xlfn.SEQUENCE(HOUR(I256-H256),1,1,1)/24,"hh:mm:ss"))</f>
        <v>14:00:00-15:00:00, 15:00:00-16:00:00</v>
      </c>
      <c r="M256" s="1" t="str">
        <f aca="false">IF(F256="","Não alocada","Alocada")</f>
        <v>Alocada</v>
      </c>
      <c r="N256" s="17" t="s">
        <v>23</v>
      </c>
      <c r="O256" s="17" t="s">
        <v>24</v>
      </c>
    </row>
    <row r="257" customFormat="false" ht="15" hidden="false" customHeight="false" outlineLevel="0" collapsed="false">
      <c r="A257" s="28" t="s">
        <v>69</v>
      </c>
      <c r="B257" s="26" t="s">
        <v>531</v>
      </c>
      <c r="C257" s="26" t="s">
        <v>532</v>
      </c>
      <c r="D257" s="19" t="s">
        <v>73</v>
      </c>
      <c r="E257" s="26" t="s">
        <v>193</v>
      </c>
      <c r="F257" s="4" t="s">
        <v>527</v>
      </c>
      <c r="G257" s="20" t="s">
        <v>22</v>
      </c>
      <c r="H257" s="27" t="n">
        <v>0.583333333333333</v>
      </c>
      <c r="I257" s="27" t="n">
        <v>0.666666666666667</v>
      </c>
      <c r="J257" s="22" t="n">
        <v>14</v>
      </c>
      <c r="K257" s="29"/>
      <c r="L257" s="23" t="str">
        <f aca="false" t="array" ref="L257:L257">_xlfn.TEXTJOIN(", ",TRUE(),TEXT(H257+_xlfn.SEQUENCE(HOUR(I257-H257),1,0,1)/24,"hh:mm:ss") &amp; "-" &amp; TEXT(H257+_xlfn.SEQUENCE(HOUR(I257-H257),1,1,1)/24,"hh:mm:ss"))</f>
        <v>14:00:00-15:00:00, 15:00:00-16:00:00</v>
      </c>
      <c r="M257" s="1" t="str">
        <f aca="false">IF(F257="","Não alocada","Alocada")</f>
        <v>Alocada</v>
      </c>
      <c r="N257" s="17" t="s">
        <v>23</v>
      </c>
      <c r="O257" s="17" t="s">
        <v>24</v>
      </c>
    </row>
    <row r="258" customFormat="false" ht="15" hidden="false" customHeight="false" outlineLevel="0" collapsed="false">
      <c r="A258" s="18" t="s">
        <v>75</v>
      </c>
      <c r="B258" s="26" t="s">
        <v>533</v>
      </c>
      <c r="C258" s="26" t="s">
        <v>534</v>
      </c>
      <c r="D258" s="19" t="s">
        <v>76</v>
      </c>
      <c r="E258" s="26" t="s">
        <v>535</v>
      </c>
      <c r="F258" s="4" t="s">
        <v>527</v>
      </c>
      <c r="G258" s="20" t="s">
        <v>34</v>
      </c>
      <c r="H258" s="27" t="n">
        <v>0.333333333333333</v>
      </c>
      <c r="I258" s="27" t="n">
        <v>0.416666666666667</v>
      </c>
      <c r="J258" s="22" t="n">
        <v>0</v>
      </c>
      <c r="K258" s="29"/>
      <c r="L258" s="23" t="str">
        <f aca="false" t="array" ref="L258:L258">_xlfn.TEXTJOIN(", ",TRUE(),TEXT(H258+_xlfn.SEQUENCE(HOUR(I258-H258),1,0,1)/24,"hh:mm:ss") &amp; "-" &amp; TEXT(H258+_xlfn.SEQUENCE(HOUR(I258-H258),1,1,1)/24,"hh:mm:ss"))</f>
        <v>08:00:00-09:00:00, 09:00:00-10:00:00</v>
      </c>
      <c r="M258" s="1" t="str">
        <f aca="false">IF(F258="","Não alocada","Alocada")</f>
        <v>Alocada</v>
      </c>
      <c r="N258" s="17" t="s">
        <v>23</v>
      </c>
      <c r="O258" s="17" t="s">
        <v>24</v>
      </c>
    </row>
    <row r="259" customFormat="false" ht="15" hidden="false" customHeight="false" outlineLevel="0" collapsed="false">
      <c r="A259" s="18" t="s">
        <v>82</v>
      </c>
      <c r="B259" s="26" t="s">
        <v>531</v>
      </c>
      <c r="C259" s="30" t="s">
        <v>536</v>
      </c>
      <c r="D259" s="19" t="s">
        <v>19</v>
      </c>
      <c r="E259" s="26"/>
      <c r="F259" s="4" t="s">
        <v>527</v>
      </c>
      <c r="G259" s="20" t="s">
        <v>22</v>
      </c>
      <c r="H259" s="27" t="n">
        <v>0.583333333333333</v>
      </c>
      <c r="I259" s="27" t="n">
        <v>0.666666666666667</v>
      </c>
      <c r="J259" s="22" t="n">
        <v>14</v>
      </c>
      <c r="K259" s="29"/>
      <c r="L259" s="23" t="str">
        <f aca="false" t="array" ref="L259:L259">_xlfn.TEXTJOIN(", ",TRUE(),TEXT(H259+_xlfn.SEQUENCE(HOUR(I259-H259),1,0,1)/24,"hh:mm:ss") &amp; "-" &amp; TEXT(H259+_xlfn.SEQUENCE(HOUR(I259-H259),1,1,1)/24,"hh:mm:ss"))</f>
        <v>14:00:00-15:00:00, 15:00:00-16:00:00</v>
      </c>
      <c r="M259" s="1" t="str">
        <f aca="false">IF(F259="","Não alocada","Alocada")</f>
        <v>Alocada</v>
      </c>
      <c r="N259" s="17" t="s">
        <v>23</v>
      </c>
      <c r="O259" s="17" t="s">
        <v>24</v>
      </c>
    </row>
    <row r="260" customFormat="false" ht="15" hidden="false" customHeight="false" outlineLevel="0" collapsed="false">
      <c r="A260" s="18" t="s">
        <v>83</v>
      </c>
      <c r="B260" s="26" t="s">
        <v>537</v>
      </c>
      <c r="C260" s="26" t="s">
        <v>538</v>
      </c>
      <c r="D260" s="19" t="s">
        <v>76</v>
      </c>
      <c r="E260" s="26"/>
      <c r="F260" s="4" t="s">
        <v>527</v>
      </c>
      <c r="G260" s="20" t="s">
        <v>117</v>
      </c>
      <c r="H260" s="27" t="n">
        <v>0.416666666666667</v>
      </c>
      <c r="I260" s="27" t="n">
        <v>0.5</v>
      </c>
      <c r="J260" s="22" t="n">
        <v>8</v>
      </c>
      <c r="K260" s="29"/>
      <c r="L260" s="23" t="str">
        <f aca="false" t="array" ref="L260:L260">_xlfn.TEXTJOIN(", ",TRUE(),TEXT(H260+_xlfn.SEQUENCE(HOUR(I260-H260),1,0,1)/24,"hh:mm:ss") &amp; "-" &amp; TEXT(H260+_xlfn.SEQUENCE(HOUR(I260-H260),1,1,1)/24,"hh:mm:ss"))</f>
        <v>10:00:00-11:00:00, 11:00:00-12:00:00</v>
      </c>
      <c r="M260" s="1" t="str">
        <f aca="false">IF(F260="","Não alocada","Alocada")</f>
        <v>Alocada</v>
      </c>
      <c r="N260" s="17" t="s">
        <v>23</v>
      </c>
      <c r="O260" s="17" t="s">
        <v>24</v>
      </c>
    </row>
    <row r="261" customFormat="false" ht="15" hidden="false" customHeight="false" outlineLevel="0" collapsed="false">
      <c r="A261" s="18" t="s">
        <v>221</v>
      </c>
      <c r="B261" s="26" t="s">
        <v>539</v>
      </c>
      <c r="C261" s="26" t="s">
        <v>540</v>
      </c>
      <c r="D261" s="19" t="s">
        <v>541</v>
      </c>
      <c r="E261" s="26" t="s">
        <v>224</v>
      </c>
      <c r="F261" s="4" t="s">
        <v>542</v>
      </c>
      <c r="G261" s="20" t="s">
        <v>257</v>
      </c>
      <c r="H261" s="27" t="n">
        <v>0.291666666666667</v>
      </c>
      <c r="I261" s="27" t="n">
        <v>0.416666666666667</v>
      </c>
      <c r="J261" s="22" t="n">
        <v>12</v>
      </c>
      <c r="K261" s="19" t="s">
        <v>257</v>
      </c>
      <c r="L261" s="23" t="str">
        <f aca="false" t="array" ref="L261:L261">_xlfn.TEXTJOIN(", ",TRUE(),TEXT(H261+_xlfn.SEQUENCE(HOUR(I261-H261),1,0,1)/24,"hh:mm:ss") &amp; "-" &amp; TEXT(H261+_xlfn.SEQUENCE(HOUR(I261-H261),1,1,1)/24,"hh:mm:ss"))</f>
        <v>07:00:00-08:00:00, 08:00:00-09:00:00, 09:00:00-10:00:00</v>
      </c>
      <c r="M261" s="1" t="str">
        <f aca="false">IF(F261="","Não alocada","Alocada")</f>
        <v>Alocada</v>
      </c>
      <c r="N261" s="17" t="s">
        <v>23</v>
      </c>
      <c r="O261" s="17" t="s">
        <v>24</v>
      </c>
    </row>
    <row r="262" customFormat="false" ht="15" hidden="false" customHeight="false" outlineLevel="0" collapsed="false">
      <c r="A262" s="18" t="s">
        <v>221</v>
      </c>
      <c r="B262" s="26" t="s">
        <v>543</v>
      </c>
      <c r="C262" s="26" t="s">
        <v>544</v>
      </c>
      <c r="D262" s="19" t="s">
        <v>541</v>
      </c>
      <c r="E262" s="26" t="s">
        <v>224</v>
      </c>
      <c r="F262" s="4" t="s">
        <v>542</v>
      </c>
      <c r="G262" s="20" t="s">
        <v>257</v>
      </c>
      <c r="H262" s="27" t="n">
        <v>0.416666666666667</v>
      </c>
      <c r="I262" s="27" t="n">
        <v>0.541666666666667</v>
      </c>
      <c r="J262" s="22" t="n">
        <v>5</v>
      </c>
      <c r="K262" s="19" t="s">
        <v>257</v>
      </c>
      <c r="L262" s="23" t="str">
        <f aca="false" t="array" ref="L262:L262">_xlfn.TEXTJOIN(", ",TRUE(),TEXT(H262+_xlfn.SEQUENCE(HOUR(I262-H262),1,0,1)/24,"hh:mm:ss") &amp; "-" &amp; TEXT(H262+_xlfn.SEQUENCE(HOUR(I262-H262),1,1,1)/24,"hh:mm:ss"))</f>
        <v>10:00:00-11:00:00, 11:00:00-12:00:00, 12:00:00-13:00:00</v>
      </c>
      <c r="M262" s="1" t="str">
        <f aca="false">IF(F262="","Não alocada","Alocada")</f>
        <v>Alocada</v>
      </c>
      <c r="N262" s="17" t="s">
        <v>23</v>
      </c>
      <c r="O262" s="17" t="s">
        <v>24</v>
      </c>
    </row>
    <row r="263" customFormat="false" ht="15" hidden="false" customHeight="false" outlineLevel="0" collapsed="false">
      <c r="A263" s="18" t="s">
        <v>75</v>
      </c>
      <c r="B263" s="26" t="s">
        <v>545</v>
      </c>
      <c r="C263" s="26" t="s">
        <v>546</v>
      </c>
      <c r="D263" s="19" t="s">
        <v>76</v>
      </c>
      <c r="E263" s="26" t="s">
        <v>547</v>
      </c>
      <c r="F263" s="4" t="s">
        <v>542</v>
      </c>
      <c r="G263" s="20" t="s">
        <v>257</v>
      </c>
      <c r="H263" s="27" t="n">
        <v>0.333333333333333</v>
      </c>
      <c r="I263" s="27" t="n">
        <v>0.416666666666667</v>
      </c>
      <c r="J263" s="22" t="n">
        <v>35</v>
      </c>
      <c r="K263" s="29"/>
      <c r="L263" s="23" t="str">
        <f aca="false" t="array" ref="L263:L263">_xlfn.TEXTJOIN(", ",TRUE(),TEXT(H263+_xlfn.SEQUENCE(HOUR(I263-H263),1,0,1)/24,"hh:mm:ss") &amp; "-" &amp; TEXT(H263+_xlfn.SEQUENCE(HOUR(I263-H263),1,1,1)/24,"hh:mm:ss"))</f>
        <v>08:00:00-09:00:00, 09:00:00-10:00:00</v>
      </c>
      <c r="M263" s="1" t="str">
        <f aca="false">IF(F263="","Não alocada","Alocada")</f>
        <v>Alocada</v>
      </c>
      <c r="N263" s="17" t="s">
        <v>23</v>
      </c>
      <c r="O263" s="17" t="s">
        <v>24</v>
      </c>
    </row>
    <row r="264" customFormat="false" ht="15" hidden="false" customHeight="false" outlineLevel="0" collapsed="false">
      <c r="A264" s="18" t="s">
        <v>75</v>
      </c>
      <c r="B264" s="26" t="s">
        <v>545</v>
      </c>
      <c r="C264" s="26" t="s">
        <v>546</v>
      </c>
      <c r="D264" s="19" t="s">
        <v>76</v>
      </c>
      <c r="E264" s="26" t="s">
        <v>547</v>
      </c>
      <c r="F264" s="4" t="s">
        <v>542</v>
      </c>
      <c r="G264" s="20" t="s">
        <v>45</v>
      </c>
      <c r="H264" s="27" t="n">
        <v>0.666666666666667</v>
      </c>
      <c r="I264" s="27" t="n">
        <v>0.75</v>
      </c>
      <c r="J264" s="22" t="n">
        <v>35</v>
      </c>
      <c r="K264" s="29"/>
      <c r="L264" s="23" t="str">
        <f aca="false" t="array" ref="L264:L264">_xlfn.TEXTJOIN(", ",TRUE(),TEXT(H264+_xlfn.SEQUENCE(HOUR(I264-H264),1,0,1)/24,"hh:mm:ss") &amp; "-" &amp; TEXT(H264+_xlfn.SEQUENCE(HOUR(I264-H264),1,1,1)/24,"hh:mm:ss"))</f>
        <v>16:00:00-17:00:00, 17:00:00-18:00:00</v>
      </c>
      <c r="M264" s="1" t="str">
        <f aca="false">IF(F264="","Não alocada","Alocada")</f>
        <v>Alocada</v>
      </c>
      <c r="N264" s="17" t="s">
        <v>23</v>
      </c>
      <c r="O264" s="17" t="s">
        <v>24</v>
      </c>
    </row>
    <row r="265" customFormat="false" ht="15" hidden="false" customHeight="false" outlineLevel="0" collapsed="false">
      <c r="A265" s="18" t="s">
        <v>75</v>
      </c>
      <c r="B265" s="30" t="s">
        <v>548</v>
      </c>
      <c r="C265" s="30" t="s">
        <v>549</v>
      </c>
      <c r="D265" s="19" t="s">
        <v>76</v>
      </c>
      <c r="E265" s="26" t="s">
        <v>550</v>
      </c>
      <c r="F265" s="4" t="s">
        <v>542</v>
      </c>
      <c r="G265" s="20" t="s">
        <v>34</v>
      </c>
      <c r="H265" s="27" t="n">
        <v>0.583333333333333</v>
      </c>
      <c r="I265" s="27" t="n">
        <v>0.666666666666667</v>
      </c>
      <c r="J265" s="22" t="n">
        <v>1</v>
      </c>
      <c r="K265" s="29"/>
      <c r="L265" s="23" t="str">
        <f aca="false" t="array" ref="L265:L265">_xlfn.TEXTJOIN(", ",TRUE(),TEXT(H265+_xlfn.SEQUENCE(HOUR(I265-H265),1,0,1)/24,"hh:mm:ss") &amp; "-" &amp; TEXT(H265+_xlfn.SEQUENCE(HOUR(I265-H265),1,1,1)/24,"hh:mm:ss"))</f>
        <v>14:00:00-15:00:00, 15:00:00-16:00:00</v>
      </c>
      <c r="M265" s="1" t="str">
        <f aca="false">IF(F265="","Não alocada","Alocada")</f>
        <v>Alocada</v>
      </c>
      <c r="N265" s="17" t="s">
        <v>23</v>
      </c>
      <c r="O265" s="17" t="s">
        <v>24</v>
      </c>
    </row>
    <row r="266" customFormat="false" ht="15" hidden="false" customHeight="false" outlineLevel="0" collapsed="false">
      <c r="A266" s="18" t="s">
        <v>83</v>
      </c>
      <c r="B266" s="26" t="s">
        <v>551</v>
      </c>
      <c r="C266" s="26" t="s">
        <v>552</v>
      </c>
      <c r="D266" s="19" t="s">
        <v>76</v>
      </c>
      <c r="E266" s="26" t="s">
        <v>553</v>
      </c>
      <c r="F266" s="4" t="s">
        <v>542</v>
      </c>
      <c r="G266" s="20" t="s">
        <v>56</v>
      </c>
      <c r="H266" s="27" t="n">
        <v>0.333333333333333</v>
      </c>
      <c r="I266" s="27" t="n">
        <v>0.5</v>
      </c>
      <c r="J266" s="22" t="n">
        <v>3</v>
      </c>
      <c r="K266" s="29"/>
      <c r="L266" s="23" t="str">
        <f aca="false" t="array" ref="L266:L266">_xlfn.TEXTJOIN(", ",TRUE(),TEXT(H266+_xlfn.SEQUENCE(HOUR(I266-H266),1,0,1)/24,"hh:mm:ss") &amp; "-" &amp; TEXT(H266+_xlfn.SEQUENCE(HOUR(I266-H266),1,1,1)/24,"hh:mm:ss"))</f>
        <v>08:00:00-09:00:00, 09:00:00-10:00:00, 10:00:00-11:00:00, 11:00:00-12:00:00</v>
      </c>
      <c r="M266" s="1" t="str">
        <f aca="false">IF(F266="","Não alocada","Alocada")</f>
        <v>Alocada</v>
      </c>
      <c r="N266" s="17" t="s">
        <v>23</v>
      </c>
      <c r="O266" s="17" t="s">
        <v>24</v>
      </c>
    </row>
    <row r="267" customFormat="false" ht="15" hidden="false" customHeight="false" outlineLevel="0" collapsed="false">
      <c r="A267" s="18" t="s">
        <v>90</v>
      </c>
      <c r="B267" s="31" t="s">
        <v>554</v>
      </c>
      <c r="C267" s="31" t="s">
        <v>555</v>
      </c>
      <c r="D267" s="19" t="s">
        <v>60</v>
      </c>
      <c r="E267" s="31" t="s">
        <v>485</v>
      </c>
      <c r="F267" s="4" t="s">
        <v>542</v>
      </c>
      <c r="G267" s="20" t="s">
        <v>66</v>
      </c>
      <c r="H267" s="27" t="n">
        <v>0.375</v>
      </c>
      <c r="I267" s="27" t="n">
        <v>0.5</v>
      </c>
      <c r="J267" s="22" t="n">
        <v>4</v>
      </c>
      <c r="K267" s="29"/>
      <c r="L267" s="23" t="str">
        <f aca="false" t="array" ref="L267:L267">_xlfn.TEXTJOIN(", ",TRUE(),TEXT(H267+_xlfn.SEQUENCE(HOUR(I267-H267),1,0,1)/24,"hh:mm:ss") &amp; "-" &amp; TEXT(H267+_xlfn.SEQUENCE(HOUR(I267-H267),1,1,1)/24,"hh:mm:ss"))</f>
        <v>09:00:00-10:00:00, 10:00:00-11:00:00, 11:00:00-12:00:00</v>
      </c>
      <c r="M267" s="1" t="str">
        <f aca="false">IF(F267="","Não alocada","Alocada")</f>
        <v>Alocada</v>
      </c>
      <c r="N267" s="17" t="s">
        <v>23</v>
      </c>
      <c r="O267" s="17" t="s">
        <v>24</v>
      </c>
    </row>
    <row r="268" customFormat="false" ht="15" hidden="false" customHeight="false" outlineLevel="0" collapsed="false">
      <c r="A268" s="18" t="s">
        <v>90</v>
      </c>
      <c r="B268" s="31" t="s">
        <v>556</v>
      </c>
      <c r="C268" s="31" t="s">
        <v>557</v>
      </c>
      <c r="D268" s="19" t="s">
        <v>19</v>
      </c>
      <c r="E268" s="31" t="s">
        <v>558</v>
      </c>
      <c r="F268" s="4" t="s">
        <v>542</v>
      </c>
      <c r="G268" s="20" t="s">
        <v>66</v>
      </c>
      <c r="H268" s="27" t="n">
        <v>0.583333333333333</v>
      </c>
      <c r="I268" s="27" t="n">
        <v>0.708333333333333</v>
      </c>
      <c r="J268" s="22" t="n">
        <v>14</v>
      </c>
      <c r="K268" s="29"/>
      <c r="L268" s="23" t="str">
        <f aca="false" t="array" ref="L268:L268">_xlfn.TEXTJOIN(", ",TRUE(),TEXT(H268+_xlfn.SEQUENCE(HOUR(I268-H268),1,0,1)/24,"hh:mm:ss") &amp; "-" &amp; TEXT(H268+_xlfn.SEQUENCE(HOUR(I268-H268),1,1,1)/24,"hh:mm:ss"))</f>
        <v>14:00:00-15:00:00, 15:00:00-16:00:00, 16:00:00-17:00:00</v>
      </c>
      <c r="M268" s="1" t="str">
        <f aca="false">IF(F268="","Não alocada","Alocada")</f>
        <v>Alocada</v>
      </c>
      <c r="N268" s="17" t="s">
        <v>23</v>
      </c>
      <c r="O268" s="17" t="s">
        <v>24</v>
      </c>
    </row>
    <row r="269" customFormat="false" ht="15" hidden="false" customHeight="false" outlineLevel="0" collapsed="false">
      <c r="A269" s="18" t="s">
        <v>90</v>
      </c>
      <c r="B269" s="31" t="s">
        <v>554</v>
      </c>
      <c r="C269" s="31" t="s">
        <v>555</v>
      </c>
      <c r="D269" s="19" t="s">
        <v>27</v>
      </c>
      <c r="E269" s="31" t="s">
        <v>558</v>
      </c>
      <c r="F269" s="4" t="s">
        <v>542</v>
      </c>
      <c r="G269" s="20" t="s">
        <v>45</v>
      </c>
      <c r="H269" s="27" t="n">
        <v>0.333333333333333</v>
      </c>
      <c r="I269" s="27" t="n">
        <v>0.416666666666667</v>
      </c>
      <c r="J269" s="22" t="n">
        <v>4</v>
      </c>
      <c r="K269" s="29"/>
      <c r="L269" s="23" t="str">
        <f aca="false" t="array" ref="L269:L269">_xlfn.TEXTJOIN(", ",TRUE(),TEXT(H269+_xlfn.SEQUENCE(HOUR(I269-H269),1,0,1)/24,"hh:mm:ss") &amp; "-" &amp; TEXT(H269+_xlfn.SEQUENCE(HOUR(I269-H269),1,1,1)/24,"hh:mm:ss"))</f>
        <v>08:00:00-09:00:00, 09:00:00-10:00:00</v>
      </c>
      <c r="M269" s="1" t="str">
        <f aca="false">IF(F269="","Não alocada","Alocada")</f>
        <v>Alocada</v>
      </c>
      <c r="N269" s="17" t="s">
        <v>23</v>
      </c>
      <c r="O269" s="17" t="s">
        <v>24</v>
      </c>
    </row>
    <row r="270" customFormat="false" ht="15" hidden="false" customHeight="false" outlineLevel="0" collapsed="false">
      <c r="A270" s="18" t="s">
        <v>16</v>
      </c>
      <c r="B270" s="19" t="s">
        <v>559</v>
      </c>
      <c r="C270" s="19" t="s">
        <v>560</v>
      </c>
      <c r="D270" s="19" t="s">
        <v>19</v>
      </c>
      <c r="E270" s="19" t="s">
        <v>185</v>
      </c>
      <c r="F270" s="4" t="s">
        <v>561</v>
      </c>
      <c r="G270" s="20" t="s">
        <v>257</v>
      </c>
      <c r="H270" s="21" t="n">
        <v>0.583333333333333</v>
      </c>
      <c r="I270" s="21" t="n">
        <v>0.708333333333333</v>
      </c>
      <c r="J270" s="22" t="n">
        <v>7</v>
      </c>
      <c r="K270" s="19" t="s">
        <v>257</v>
      </c>
      <c r="L270" s="23" t="str">
        <f aca="false" t="array" ref="L270:L270">_xlfn.TEXTJOIN(", ",TRUE(),TEXT(H270+_xlfn.SEQUENCE(HOUR(I270-H270),1,0,1)/24,"hh:mm:ss") &amp; "-" &amp; TEXT(H270+_xlfn.SEQUENCE(HOUR(I270-H270),1,1,1)/24,"hh:mm:ss"))</f>
        <v>14:00:00-15:00:00, 15:00:00-16:00:00, 16:00:00-17:00:00</v>
      </c>
      <c r="M270" s="1" t="str">
        <f aca="false">IF(F270="","Não alocada","Alocada")</f>
        <v>Alocada</v>
      </c>
      <c r="N270" s="17" t="s">
        <v>23</v>
      </c>
      <c r="O270" s="17" t="s">
        <v>24</v>
      </c>
    </row>
    <row r="271" customFormat="false" ht="15" hidden="false" customHeight="false" outlineLevel="0" collapsed="false">
      <c r="A271" s="18" t="s">
        <v>52</v>
      </c>
      <c r="B271" s="26" t="s">
        <v>562</v>
      </c>
      <c r="C271" s="26" t="s">
        <v>563</v>
      </c>
      <c r="D271" s="19" t="s">
        <v>19</v>
      </c>
      <c r="E271" s="26" t="s">
        <v>372</v>
      </c>
      <c r="F271" s="4" t="s">
        <v>561</v>
      </c>
      <c r="G271" s="20" t="s">
        <v>213</v>
      </c>
      <c r="H271" s="27" t="n">
        <v>0.666666666666667</v>
      </c>
      <c r="I271" s="27" t="n">
        <v>0.75</v>
      </c>
      <c r="J271" s="22" t="n">
        <v>9</v>
      </c>
      <c r="K271" s="19" t="s">
        <v>213</v>
      </c>
      <c r="L271" s="23" t="str">
        <f aca="false" t="array" ref="L271:L271">_xlfn.TEXTJOIN(", ",TRUE(),TEXT(H271+_xlfn.SEQUENCE(HOUR(I271-H271),1,0,1)/24,"hh:mm:ss") &amp; "-" &amp; TEXT(H271+_xlfn.SEQUENCE(HOUR(I271-H271),1,1,1)/24,"hh:mm:ss"))</f>
        <v>16:00:00-17:00:00, 17:00:00-18:00:00</v>
      </c>
      <c r="M271" s="1" t="str">
        <f aca="false">IF(F271="","Não alocada","Alocada")</f>
        <v>Alocada</v>
      </c>
      <c r="N271" s="17" t="s">
        <v>23</v>
      </c>
      <c r="O271" s="17" t="s">
        <v>24</v>
      </c>
    </row>
    <row r="272" customFormat="false" ht="15" hidden="false" customHeight="false" outlineLevel="0" collapsed="false">
      <c r="A272" s="18" t="s">
        <v>82</v>
      </c>
      <c r="B272" s="26" t="s">
        <v>564</v>
      </c>
      <c r="C272" s="26" t="s">
        <v>565</v>
      </c>
      <c r="D272" s="19" t="s">
        <v>19</v>
      </c>
      <c r="E272" s="26" t="s">
        <v>566</v>
      </c>
      <c r="F272" s="4" t="s">
        <v>561</v>
      </c>
      <c r="G272" s="20" t="s">
        <v>117</v>
      </c>
      <c r="H272" s="27" t="n">
        <v>0.583333333333333</v>
      </c>
      <c r="I272" s="27" t="n">
        <v>0.666666666666667</v>
      </c>
      <c r="J272" s="22" t="n">
        <v>8</v>
      </c>
      <c r="K272" s="29"/>
      <c r="L272" s="23" t="str">
        <f aca="false" t="array" ref="L272:L272">_xlfn.TEXTJOIN(", ",TRUE(),TEXT(H272+_xlfn.SEQUENCE(HOUR(I272-H272),1,0,1)/24,"hh:mm:ss") &amp; "-" &amp; TEXT(H272+_xlfn.SEQUENCE(HOUR(I272-H272),1,1,1)/24,"hh:mm:ss"))</f>
        <v>14:00:00-15:00:00, 15:00:00-16:00:00</v>
      </c>
      <c r="M272" s="1" t="str">
        <f aca="false">IF(F272="","Não alocada","Alocada")</f>
        <v>Alocada</v>
      </c>
      <c r="N272" s="17" t="s">
        <v>23</v>
      </c>
      <c r="O272" s="17" t="s">
        <v>24</v>
      </c>
    </row>
    <row r="273" customFormat="false" ht="15" hidden="false" customHeight="false" outlineLevel="0" collapsed="false">
      <c r="A273" s="18" t="s">
        <v>82</v>
      </c>
      <c r="B273" s="26" t="s">
        <v>567</v>
      </c>
      <c r="C273" s="26" t="s">
        <v>568</v>
      </c>
      <c r="D273" s="19" t="s">
        <v>19</v>
      </c>
      <c r="E273" s="26" t="s">
        <v>569</v>
      </c>
      <c r="F273" s="4" t="s">
        <v>561</v>
      </c>
      <c r="G273" s="20" t="s">
        <v>29</v>
      </c>
      <c r="H273" s="27" t="n">
        <v>0.333333333333333</v>
      </c>
      <c r="I273" s="27" t="n">
        <v>0.416666666666667</v>
      </c>
      <c r="J273" s="22" t="n">
        <v>14</v>
      </c>
      <c r="K273" s="29"/>
      <c r="L273" s="23" t="str">
        <f aca="false" t="array" ref="L273:L273">_xlfn.TEXTJOIN(", ",TRUE(),TEXT(H273+_xlfn.SEQUENCE(HOUR(I273-H273),1,0,1)/24,"hh:mm:ss") &amp; "-" &amp; TEXT(H273+_xlfn.SEQUENCE(HOUR(I273-H273),1,1,1)/24,"hh:mm:ss"))</f>
        <v>08:00:00-09:00:00, 09:00:00-10:00:00</v>
      </c>
      <c r="M273" s="1" t="str">
        <f aca="false">IF(F273="","Não alocada","Alocada")</f>
        <v>Alocada</v>
      </c>
      <c r="N273" s="17" t="s">
        <v>23</v>
      </c>
      <c r="O273" s="17" t="s">
        <v>24</v>
      </c>
    </row>
    <row r="274" customFormat="false" ht="15" hidden="false" customHeight="false" outlineLevel="0" collapsed="false">
      <c r="A274" s="18" t="s">
        <v>52</v>
      </c>
      <c r="B274" s="26" t="s">
        <v>570</v>
      </c>
      <c r="C274" s="26" t="s">
        <v>571</v>
      </c>
      <c r="D274" s="19" t="s">
        <v>27</v>
      </c>
      <c r="E274" s="26" t="s">
        <v>572</v>
      </c>
      <c r="F274" s="4" t="s">
        <v>573</v>
      </c>
      <c r="G274" s="20" t="s">
        <v>117</v>
      </c>
      <c r="H274" s="27" t="n">
        <v>0.583333333333333</v>
      </c>
      <c r="I274" s="27" t="n">
        <v>0.666666666666667</v>
      </c>
      <c r="J274" s="22" t="n">
        <v>10</v>
      </c>
      <c r="K274" s="19" t="s">
        <v>117</v>
      </c>
      <c r="L274" s="23" t="str">
        <f aca="false" t="array" ref="L274:L274">_xlfn.TEXTJOIN(", ",TRUE(),TEXT(H274+_xlfn.SEQUENCE(HOUR(I274-H274),1,0,1)/24,"hh:mm:ss") &amp; "-" &amp; TEXT(H274+_xlfn.SEQUENCE(HOUR(I274-H274),1,1,1)/24,"hh:mm:ss"))</f>
        <v>14:00:00-15:00:00, 15:00:00-16:00:00</v>
      </c>
      <c r="M274" s="1" t="str">
        <f aca="false">IF(F274="","Não alocada","Alocada")</f>
        <v>Alocada</v>
      </c>
      <c r="N274" s="17" t="s">
        <v>23</v>
      </c>
      <c r="O274" s="17" t="s">
        <v>24</v>
      </c>
    </row>
    <row r="275" customFormat="false" ht="15" hidden="false" customHeight="false" outlineLevel="0" collapsed="false">
      <c r="A275" s="18" t="s">
        <v>82</v>
      </c>
      <c r="B275" s="26" t="s">
        <v>574</v>
      </c>
      <c r="C275" s="26" t="s">
        <v>575</v>
      </c>
      <c r="D275" s="19" t="s">
        <v>19</v>
      </c>
      <c r="E275" s="26" t="s">
        <v>79</v>
      </c>
      <c r="F275" s="4" t="s">
        <v>573</v>
      </c>
      <c r="G275" s="20" t="s">
        <v>34</v>
      </c>
      <c r="H275" s="27" t="n">
        <v>0.583333333333333</v>
      </c>
      <c r="I275" s="27" t="n">
        <v>0.666666666666667</v>
      </c>
      <c r="J275" s="22" t="n">
        <v>17</v>
      </c>
      <c r="K275" s="29"/>
      <c r="L275" s="23" t="str">
        <f aca="false" t="array" ref="L275:L275">_xlfn.TEXTJOIN(", ",TRUE(),TEXT(H275+_xlfn.SEQUENCE(HOUR(I275-H275),1,0,1)/24,"hh:mm:ss") &amp; "-" &amp; TEXT(H275+_xlfn.SEQUENCE(HOUR(I275-H275),1,1,1)/24,"hh:mm:ss"))</f>
        <v>14:00:00-15:00:00, 15:00:00-16:00:00</v>
      </c>
      <c r="M275" s="1" t="str">
        <f aca="false">IF(F275="","Não alocada","Alocada")</f>
        <v>Alocada</v>
      </c>
      <c r="N275" s="17" t="s">
        <v>23</v>
      </c>
      <c r="O275" s="17" t="s">
        <v>24</v>
      </c>
    </row>
    <row r="276" customFormat="false" ht="15" hidden="false" customHeight="false" outlineLevel="0" collapsed="false">
      <c r="A276" s="18" t="s">
        <v>92</v>
      </c>
      <c r="B276" s="32" t="s">
        <v>570</v>
      </c>
      <c r="C276" s="32" t="s">
        <v>571</v>
      </c>
      <c r="D276" s="19" t="s">
        <v>27</v>
      </c>
      <c r="E276" s="32" t="s">
        <v>476</v>
      </c>
      <c r="F276" s="4" t="s">
        <v>573</v>
      </c>
      <c r="G276" s="34" t="s">
        <v>117</v>
      </c>
      <c r="H276" s="33" t="n">
        <v>0.583333333333333</v>
      </c>
      <c r="I276" s="33" t="n">
        <v>0.666666666666667</v>
      </c>
      <c r="J276" s="22" t="n">
        <v>10</v>
      </c>
      <c r="K276" s="29"/>
      <c r="L276" s="23" t="str">
        <f aca="false" t="array" ref="L276:L276">_xlfn.TEXTJOIN(", ",TRUE(),TEXT(H276+_xlfn.SEQUENCE(HOUR(I276-H276),1,0,1)/24,"hh:mm:ss") &amp; "-" &amp; TEXT(H276+_xlfn.SEQUENCE(HOUR(I276-H276),1,1,1)/24,"hh:mm:ss"))</f>
        <v>14:00:00-15:00:00, 15:00:00-16:00:00</v>
      </c>
      <c r="M276" s="1" t="str">
        <f aca="false">IF(F276="","Não alocada","Alocada")</f>
        <v>Alocada</v>
      </c>
      <c r="N276" s="17" t="s">
        <v>23</v>
      </c>
      <c r="O276" s="17" t="s">
        <v>24</v>
      </c>
    </row>
    <row r="277" customFormat="false" ht="15" hidden="false" customHeight="false" outlineLevel="0" collapsed="false">
      <c r="A277" s="18" t="s">
        <v>92</v>
      </c>
      <c r="B277" s="32" t="s">
        <v>576</v>
      </c>
      <c r="C277" s="32" t="s">
        <v>577</v>
      </c>
      <c r="D277" s="19" t="s">
        <v>19</v>
      </c>
      <c r="E277" s="32" t="s">
        <v>578</v>
      </c>
      <c r="F277" s="4" t="s">
        <v>573</v>
      </c>
      <c r="G277" s="20" t="s">
        <v>22</v>
      </c>
      <c r="H277" s="33" t="n">
        <v>0.333333333333333</v>
      </c>
      <c r="I277" s="33" t="n">
        <v>0.416666666666667</v>
      </c>
      <c r="J277" s="22" t="n">
        <v>6</v>
      </c>
      <c r="K277" s="29"/>
      <c r="L277" s="23" t="str">
        <f aca="false" t="array" ref="L277:L277">_xlfn.TEXTJOIN(", ",TRUE(),TEXT(H277+_xlfn.SEQUENCE(HOUR(I277-H277),1,0,1)/24,"hh:mm:ss") &amp; "-" &amp; TEXT(H277+_xlfn.SEQUENCE(HOUR(I277-H277),1,1,1)/24,"hh:mm:ss"))</f>
        <v>08:00:00-09:00:00, 09:00:00-10:00:00</v>
      </c>
      <c r="M277" s="1" t="str">
        <f aca="false">IF(F277="","Não alocada","Alocada")</f>
        <v>Alocada</v>
      </c>
      <c r="N277" s="17" t="s">
        <v>23</v>
      </c>
      <c r="O277" s="17" t="s">
        <v>24</v>
      </c>
    </row>
    <row r="278" customFormat="false" ht="15" hidden="false" customHeight="false" outlineLevel="0" collapsed="false">
      <c r="A278" s="18" t="s">
        <v>92</v>
      </c>
      <c r="B278" s="32" t="s">
        <v>579</v>
      </c>
      <c r="C278" s="32" t="s">
        <v>580</v>
      </c>
      <c r="D278" s="19" t="s">
        <v>19</v>
      </c>
      <c r="E278" s="32" t="s">
        <v>581</v>
      </c>
      <c r="F278" s="4" t="s">
        <v>573</v>
      </c>
      <c r="G278" s="20" t="s">
        <v>34</v>
      </c>
      <c r="H278" s="34" t="s">
        <v>95</v>
      </c>
      <c r="I278" s="34" t="s">
        <v>96</v>
      </c>
      <c r="J278" s="22" t="n">
        <v>2</v>
      </c>
      <c r="K278" s="29"/>
      <c r="L278" s="23" t="str">
        <f aca="false" t="array" ref="L278:L278">_xlfn.TEXTJOIN(", ",TRUE(),TEXT(H278+_xlfn.SEQUENCE(HOUR(I278-H278),1,0,1)/24,"hh:mm:ss") &amp; "-" &amp; TEXT(H278+_xlfn.SEQUENCE(HOUR(I278-H278),1,1,1)/24,"hh:mm:ss"))</f>
        <v>16:00:00-17:00:00, 17:00:00-18:00:00</v>
      </c>
      <c r="M278" s="1" t="str">
        <f aca="false">IF(F278="","Não alocada","Alocada")</f>
        <v>Alocada</v>
      </c>
      <c r="N278" s="17" t="s">
        <v>23</v>
      </c>
      <c r="O278" s="17" t="s">
        <v>24</v>
      </c>
    </row>
    <row r="279" customFormat="false" ht="15" hidden="false" customHeight="false" outlineLevel="0" collapsed="false">
      <c r="A279" s="18" t="s">
        <v>16</v>
      </c>
      <c r="B279" s="19" t="s">
        <v>582</v>
      </c>
      <c r="C279" s="19" t="s">
        <v>583</v>
      </c>
      <c r="D279" s="19" t="s">
        <v>19</v>
      </c>
      <c r="E279" s="19" t="s">
        <v>584</v>
      </c>
      <c r="F279" s="4" t="s">
        <v>585</v>
      </c>
      <c r="G279" s="20" t="s">
        <v>45</v>
      </c>
      <c r="H279" s="21" t="n">
        <v>0.416666666666667</v>
      </c>
      <c r="I279" s="21" t="n">
        <v>0.5</v>
      </c>
      <c r="J279" s="22" t="n">
        <v>0</v>
      </c>
      <c r="K279" s="19" t="s">
        <v>45</v>
      </c>
      <c r="L279" s="23" t="str">
        <f aca="false" t="array" ref="L279:L279">_xlfn.TEXTJOIN(", ",TRUE(),TEXT(H279+_xlfn.SEQUENCE(HOUR(I279-H279),1,0,1)/24,"hh:mm:ss") &amp; "-" &amp; TEXT(H279+_xlfn.SEQUENCE(HOUR(I279-H279),1,1,1)/24,"hh:mm:ss"))</f>
        <v>10:00:00-11:00:00, 11:00:00-12:00:00</v>
      </c>
      <c r="M279" s="1" t="str">
        <f aca="false">IF(F279="","Não alocada","Alocada")</f>
        <v>Alocada</v>
      </c>
      <c r="N279" s="17" t="s">
        <v>23</v>
      </c>
      <c r="O279" s="17" t="s">
        <v>24</v>
      </c>
    </row>
    <row r="280" customFormat="false" ht="15" hidden="false" customHeight="false" outlineLevel="0" collapsed="false">
      <c r="A280" s="18" t="s">
        <v>16</v>
      </c>
      <c r="B280" s="19" t="s">
        <v>586</v>
      </c>
      <c r="C280" s="19" t="s">
        <v>587</v>
      </c>
      <c r="D280" s="19" t="s">
        <v>27</v>
      </c>
      <c r="E280" s="19" t="s">
        <v>185</v>
      </c>
      <c r="F280" s="4" t="s">
        <v>585</v>
      </c>
      <c r="G280" s="20" t="s">
        <v>34</v>
      </c>
      <c r="H280" s="21" t="n">
        <v>0.416666666666667</v>
      </c>
      <c r="I280" s="21" t="n">
        <v>0.5</v>
      </c>
      <c r="J280" s="22" t="n">
        <v>10</v>
      </c>
      <c r="K280" s="19" t="s">
        <v>34</v>
      </c>
      <c r="L280" s="23" t="str">
        <f aca="false" t="array" ref="L280:L280">_xlfn.TEXTJOIN(", ",TRUE(),TEXT(H280+_xlfn.SEQUENCE(HOUR(I280-H280),1,0,1)/24,"hh:mm:ss") &amp; "-" &amp; TEXT(H280+_xlfn.SEQUENCE(HOUR(I280-H280),1,1,1)/24,"hh:mm:ss"))</f>
        <v>10:00:00-11:00:00, 11:00:00-12:00:00</v>
      </c>
      <c r="M280" s="1" t="str">
        <f aca="false">IF(F280="","Não alocada","Alocada")</f>
        <v>Alocada</v>
      </c>
      <c r="N280" s="17" t="s">
        <v>23</v>
      </c>
      <c r="O280" s="17" t="s">
        <v>24</v>
      </c>
    </row>
    <row r="281" customFormat="false" ht="15" hidden="false" customHeight="false" outlineLevel="0" collapsed="false">
      <c r="A281" s="18" t="s">
        <v>35</v>
      </c>
      <c r="B281" s="24" t="s">
        <v>588</v>
      </c>
      <c r="C281" s="24" t="s">
        <v>589</v>
      </c>
      <c r="D281" s="19" t="s">
        <v>27</v>
      </c>
      <c r="E281" s="24" t="s">
        <v>481</v>
      </c>
      <c r="F281" s="4" t="s">
        <v>585</v>
      </c>
      <c r="G281" s="45" t="s">
        <v>117</v>
      </c>
      <c r="H281" s="25" t="n">
        <v>0.583333333333333</v>
      </c>
      <c r="I281" s="25" t="n">
        <v>0.666666666666667</v>
      </c>
      <c r="J281" s="22" t="n">
        <v>1</v>
      </c>
      <c r="K281" s="19" t="s">
        <v>117</v>
      </c>
      <c r="L281" s="23" t="str">
        <f aca="false" t="array" ref="L281:L281">_xlfn.TEXTJOIN(", ",TRUE(),TEXT(H281+_xlfn.SEQUENCE(HOUR(I281-H281),1,0,1)/24,"hh:mm:ss") &amp; "-" &amp; TEXT(H281+_xlfn.SEQUENCE(HOUR(I281-H281),1,1,1)/24,"hh:mm:ss"))</f>
        <v>14:00:00-15:00:00, 15:00:00-16:00:00</v>
      </c>
      <c r="M281" s="1" t="str">
        <f aca="false">IF(F281="","Não alocada","Alocada")</f>
        <v>Alocada</v>
      </c>
      <c r="N281" s="17" t="s">
        <v>23</v>
      </c>
      <c r="O281" s="17" t="s">
        <v>24</v>
      </c>
    </row>
    <row r="282" customFormat="false" ht="15" hidden="false" customHeight="false" outlineLevel="0" collapsed="false">
      <c r="A282" s="18" t="s">
        <v>52</v>
      </c>
      <c r="B282" s="26" t="s">
        <v>590</v>
      </c>
      <c r="C282" s="26" t="s">
        <v>302</v>
      </c>
      <c r="D282" s="19" t="s">
        <v>27</v>
      </c>
      <c r="E282" s="26" t="s">
        <v>591</v>
      </c>
      <c r="F282" s="4" t="s">
        <v>585</v>
      </c>
      <c r="G282" s="20" t="s">
        <v>22</v>
      </c>
      <c r="H282" s="27" t="n">
        <v>0.333333333333333</v>
      </c>
      <c r="I282" s="27" t="n">
        <v>0.416666666666667</v>
      </c>
      <c r="J282" s="22" t="n">
        <v>17</v>
      </c>
      <c r="K282" s="19" t="s">
        <v>22</v>
      </c>
      <c r="L282" s="23" t="str">
        <f aca="false" t="array" ref="L282:L282">_xlfn.TEXTJOIN(", ",TRUE(),TEXT(H282+_xlfn.SEQUENCE(HOUR(I282-H282),1,0,1)/24,"hh:mm:ss") &amp; "-" &amp; TEXT(H282+_xlfn.SEQUENCE(HOUR(I282-H282),1,1,1)/24,"hh:mm:ss"))</f>
        <v>08:00:00-09:00:00, 09:00:00-10:00:00</v>
      </c>
      <c r="M282" s="1" t="str">
        <f aca="false">IF(F282="","Não alocada","Alocada")</f>
        <v>Alocada</v>
      </c>
      <c r="N282" s="17" t="s">
        <v>23</v>
      </c>
      <c r="O282" s="17" t="s">
        <v>24</v>
      </c>
    </row>
    <row r="283" customFormat="false" ht="15" hidden="false" customHeight="false" outlineLevel="0" collapsed="false">
      <c r="A283" s="18" t="s">
        <v>52</v>
      </c>
      <c r="B283" s="26" t="s">
        <v>592</v>
      </c>
      <c r="C283" s="26" t="s">
        <v>593</v>
      </c>
      <c r="D283" s="19" t="s">
        <v>27</v>
      </c>
      <c r="E283" s="26" t="s">
        <v>594</v>
      </c>
      <c r="F283" s="4" t="s">
        <v>585</v>
      </c>
      <c r="G283" s="20" t="s">
        <v>595</v>
      </c>
      <c r="H283" s="27" t="n">
        <v>0.666666666666667</v>
      </c>
      <c r="I283" s="27" t="n">
        <v>0.75</v>
      </c>
      <c r="J283" s="22" t="n">
        <v>12</v>
      </c>
      <c r="K283" s="19" t="s">
        <v>595</v>
      </c>
      <c r="L283" s="23" t="str">
        <f aca="false" t="array" ref="L283:L283">_xlfn.TEXTJOIN(", ",TRUE(),TEXT(H283+_xlfn.SEQUENCE(HOUR(I283-H283),1,0,1)/24,"hh:mm:ss") &amp; "-" &amp; TEXT(H283+_xlfn.SEQUENCE(HOUR(I283-H283),1,1,1)/24,"hh:mm:ss"))</f>
        <v>16:00:00-17:00:00, 17:00:00-18:00:00</v>
      </c>
      <c r="M283" s="1" t="str">
        <f aca="false">IF(F283="","Não alocada","Alocada")</f>
        <v>Alocada</v>
      </c>
      <c r="N283" s="17" t="s">
        <v>23</v>
      </c>
      <c r="O283" s="17" t="s">
        <v>24</v>
      </c>
    </row>
    <row r="284" customFormat="false" ht="15" hidden="false" customHeight="false" outlineLevel="0" collapsed="false">
      <c r="A284" s="18" t="s">
        <v>52</v>
      </c>
      <c r="B284" s="26" t="s">
        <v>590</v>
      </c>
      <c r="C284" s="26" t="s">
        <v>302</v>
      </c>
      <c r="D284" s="19" t="s">
        <v>60</v>
      </c>
      <c r="E284" s="26" t="s">
        <v>591</v>
      </c>
      <c r="F284" s="4" t="s">
        <v>585</v>
      </c>
      <c r="G284" s="20" t="s">
        <v>66</v>
      </c>
      <c r="H284" s="27" t="n">
        <v>0.416666666666667</v>
      </c>
      <c r="I284" s="27" t="n">
        <v>0.5</v>
      </c>
      <c r="J284" s="22" t="n">
        <v>17</v>
      </c>
      <c r="K284" s="19" t="s">
        <v>66</v>
      </c>
      <c r="L284" s="23" t="str">
        <f aca="false" t="array" ref="L284:L284">_xlfn.TEXTJOIN(", ",TRUE(),TEXT(H284+_xlfn.SEQUENCE(HOUR(I284-H284),1,0,1)/24,"hh:mm:ss") &amp; "-" &amp; TEXT(H284+_xlfn.SEQUENCE(HOUR(I284-H284),1,1,1)/24,"hh:mm:ss"))</f>
        <v>10:00:00-11:00:00, 11:00:00-12:00:00</v>
      </c>
      <c r="M284" s="1" t="str">
        <f aca="false">IF(F284="","Não alocada","Alocada")</f>
        <v>Alocada</v>
      </c>
      <c r="N284" s="17" t="s">
        <v>23</v>
      </c>
      <c r="O284" s="17" t="s">
        <v>24</v>
      </c>
    </row>
    <row r="285" customFormat="false" ht="15" hidden="false" customHeight="false" outlineLevel="0" collapsed="false">
      <c r="A285" s="18" t="s">
        <v>221</v>
      </c>
      <c r="B285" s="26" t="s">
        <v>596</v>
      </c>
      <c r="C285" s="26" t="s">
        <v>597</v>
      </c>
      <c r="D285" s="19" t="s">
        <v>541</v>
      </c>
      <c r="E285" s="26" t="s">
        <v>530</v>
      </c>
      <c r="F285" s="4" t="s">
        <v>598</v>
      </c>
      <c r="G285" s="20" t="s">
        <v>56</v>
      </c>
      <c r="H285" s="27" t="n">
        <v>0.375</v>
      </c>
      <c r="I285" s="27" t="n">
        <v>0.5</v>
      </c>
      <c r="J285" s="22" t="n">
        <v>8</v>
      </c>
      <c r="K285" s="19" t="s">
        <v>56</v>
      </c>
      <c r="L285" s="23" t="str">
        <f aca="false" t="array" ref="L285:L285">_xlfn.TEXTJOIN(", ",TRUE(),TEXT(H285+_xlfn.SEQUENCE(HOUR(I285-H285),1,0,1)/24,"hh:mm:ss") &amp; "-" &amp; TEXT(H285+_xlfn.SEQUENCE(HOUR(I285-H285),1,1,1)/24,"hh:mm:ss"))</f>
        <v>09:00:00-10:00:00, 10:00:00-11:00:00, 11:00:00-12:00:00</v>
      </c>
      <c r="M285" s="1" t="str">
        <f aca="false">IF(F285="","Não alocada","Alocada")</f>
        <v>Alocada</v>
      </c>
      <c r="N285" s="17" t="s">
        <v>23</v>
      </c>
      <c r="O285" s="17" t="s">
        <v>24</v>
      </c>
    </row>
    <row r="286" customFormat="false" ht="15" hidden="false" customHeight="false" outlineLevel="0" collapsed="false">
      <c r="A286" s="18" t="s">
        <v>52</v>
      </c>
      <c r="B286" s="26" t="s">
        <v>599</v>
      </c>
      <c r="C286" s="26" t="s">
        <v>600</v>
      </c>
      <c r="D286" s="19" t="s">
        <v>19</v>
      </c>
      <c r="E286" s="26" t="s">
        <v>601</v>
      </c>
      <c r="F286" s="4" t="s">
        <v>598</v>
      </c>
      <c r="G286" s="20" t="s">
        <v>117</v>
      </c>
      <c r="H286" s="27" t="n">
        <v>0.583333333333333</v>
      </c>
      <c r="I286" s="27" t="n">
        <v>0.666666666666667</v>
      </c>
      <c r="J286" s="22" t="n">
        <v>4</v>
      </c>
      <c r="K286" s="19" t="s">
        <v>117</v>
      </c>
      <c r="L286" s="23" t="str">
        <f aca="false" t="array" ref="L286:L286">_xlfn.TEXTJOIN(", ",TRUE(),TEXT(H286+_xlfn.SEQUENCE(HOUR(I286-H286),1,0,1)/24,"hh:mm:ss") &amp; "-" &amp; TEXT(H286+_xlfn.SEQUENCE(HOUR(I286-H286),1,1,1)/24,"hh:mm:ss"))</f>
        <v>14:00:00-15:00:00, 15:00:00-16:00:00</v>
      </c>
      <c r="M286" s="1" t="str">
        <f aca="false">IF(F286="","Não alocada","Alocada")</f>
        <v>Alocada</v>
      </c>
      <c r="N286" s="17" t="s">
        <v>23</v>
      </c>
      <c r="O286" s="17" t="s">
        <v>24</v>
      </c>
    </row>
    <row r="287" customFormat="false" ht="15" hidden="false" customHeight="false" outlineLevel="0" collapsed="false">
      <c r="A287" s="18" t="s">
        <v>52</v>
      </c>
      <c r="B287" s="26" t="s">
        <v>602</v>
      </c>
      <c r="C287" s="26" t="s">
        <v>603</v>
      </c>
      <c r="D287" s="19" t="s">
        <v>27</v>
      </c>
      <c r="E287" s="26" t="s">
        <v>604</v>
      </c>
      <c r="F287" s="4" t="s">
        <v>598</v>
      </c>
      <c r="G287" s="20" t="s">
        <v>43</v>
      </c>
      <c r="H287" s="27" t="n">
        <v>0.416666666666667</v>
      </c>
      <c r="I287" s="27" t="n">
        <v>0.5</v>
      </c>
      <c r="J287" s="22" t="n">
        <v>10</v>
      </c>
      <c r="K287" s="19" t="s">
        <v>43</v>
      </c>
      <c r="L287" s="23" t="str">
        <f aca="false" t="array" ref="L287:L287">_xlfn.TEXTJOIN(", ",TRUE(),TEXT(H287+_xlfn.SEQUENCE(HOUR(I287-H287),1,0,1)/24,"hh:mm:ss") &amp; "-" &amp; TEXT(H287+_xlfn.SEQUENCE(HOUR(I287-H287),1,1,1)/24,"hh:mm:ss"))</f>
        <v>10:00:00-11:00:00, 11:00:00-12:00:00</v>
      </c>
      <c r="M287" s="1" t="str">
        <f aca="false">IF(F287="","Não alocada","Alocada")</f>
        <v>Alocada</v>
      </c>
      <c r="N287" s="17" t="s">
        <v>23</v>
      </c>
      <c r="O287" s="17" t="s">
        <v>24</v>
      </c>
    </row>
    <row r="288" customFormat="false" ht="15" hidden="false" customHeight="false" outlineLevel="0" collapsed="false">
      <c r="A288" s="18" t="s">
        <v>52</v>
      </c>
      <c r="B288" s="26" t="s">
        <v>605</v>
      </c>
      <c r="C288" s="26" t="s">
        <v>606</v>
      </c>
      <c r="D288" s="19" t="s">
        <v>19</v>
      </c>
      <c r="E288" s="26" t="s">
        <v>607</v>
      </c>
      <c r="F288" s="4" t="s">
        <v>598</v>
      </c>
      <c r="G288" s="20" t="s">
        <v>34</v>
      </c>
      <c r="H288" s="27" t="n">
        <v>0.666666666666667</v>
      </c>
      <c r="I288" s="27" t="n">
        <v>0.75</v>
      </c>
      <c r="J288" s="22" t="n">
        <v>14</v>
      </c>
      <c r="K288" s="19" t="s">
        <v>34</v>
      </c>
      <c r="L288" s="23" t="str">
        <f aca="false" t="array" ref="L288:L288">_xlfn.TEXTJOIN(", ",TRUE(),TEXT(H288+_xlfn.SEQUENCE(HOUR(I288-H288),1,0,1)/24,"hh:mm:ss") &amp; "-" &amp; TEXT(H288+_xlfn.SEQUENCE(HOUR(I288-H288),1,1,1)/24,"hh:mm:ss"))</f>
        <v>16:00:00-17:00:00, 17:00:00-18:00:00</v>
      </c>
      <c r="M288" s="1" t="str">
        <f aca="false">IF(F288="","Não alocada","Alocada")</f>
        <v>Alocada</v>
      </c>
      <c r="N288" s="17" t="s">
        <v>23</v>
      </c>
      <c r="O288" s="17" t="s">
        <v>24</v>
      </c>
    </row>
    <row r="289" customFormat="false" ht="15" hidden="false" customHeight="false" outlineLevel="0" collapsed="false">
      <c r="A289" s="18" t="s">
        <v>52</v>
      </c>
      <c r="B289" s="26" t="s">
        <v>608</v>
      </c>
      <c r="C289" s="26" t="s">
        <v>609</v>
      </c>
      <c r="D289" s="19" t="s">
        <v>19</v>
      </c>
      <c r="E289" s="26" t="s">
        <v>610</v>
      </c>
      <c r="F289" s="4" t="s">
        <v>611</v>
      </c>
      <c r="G289" s="20" t="s">
        <v>29</v>
      </c>
      <c r="H289" s="27" t="n">
        <v>0.333333333333333</v>
      </c>
      <c r="I289" s="27" t="n">
        <v>0.416666666666667</v>
      </c>
      <c r="J289" s="22" t="n">
        <v>15</v>
      </c>
      <c r="K289" s="19" t="s">
        <v>29</v>
      </c>
      <c r="L289" s="23" t="str">
        <f aca="false" t="array" ref="L289:L289">_xlfn.TEXTJOIN(", ",TRUE(),TEXT(H289+_xlfn.SEQUENCE(HOUR(I289-H289),1,0,1)/24,"hh:mm:ss") &amp; "-" &amp; TEXT(H289+_xlfn.SEQUENCE(HOUR(I289-H289),1,1,1)/24,"hh:mm:ss"))</f>
        <v>08:00:00-09:00:00, 09:00:00-10:00:00</v>
      </c>
      <c r="M289" s="1" t="str">
        <f aca="false">IF(F289="","Não alocada","Alocada")</f>
        <v>Alocada</v>
      </c>
      <c r="N289" s="17" t="s">
        <v>23</v>
      </c>
      <c r="O289" s="17" t="s">
        <v>24</v>
      </c>
    </row>
    <row r="290" customFormat="false" ht="15" hidden="false" customHeight="false" outlineLevel="0" collapsed="false">
      <c r="A290" s="28" t="s">
        <v>69</v>
      </c>
      <c r="B290" s="26" t="s">
        <v>612</v>
      </c>
      <c r="C290" s="26" t="s">
        <v>613</v>
      </c>
      <c r="D290" s="19" t="s">
        <v>19</v>
      </c>
      <c r="E290" s="26" t="s">
        <v>393</v>
      </c>
      <c r="F290" s="4" t="s">
        <v>611</v>
      </c>
      <c r="G290" s="20" t="s">
        <v>213</v>
      </c>
      <c r="H290" s="27" t="n">
        <v>0.416666666666667</v>
      </c>
      <c r="I290" s="27" t="n">
        <v>0.5</v>
      </c>
      <c r="J290" s="22" t="n">
        <v>10</v>
      </c>
      <c r="K290" s="29"/>
      <c r="L290" s="23" t="str">
        <f aca="false" t="array" ref="L290:L290">_xlfn.TEXTJOIN(", ",TRUE(),TEXT(H290+_xlfn.SEQUENCE(HOUR(I290-H290),1,0,1)/24,"hh:mm:ss") &amp; "-" &amp; TEXT(H290+_xlfn.SEQUENCE(HOUR(I290-H290),1,1,1)/24,"hh:mm:ss"))</f>
        <v>10:00:00-11:00:00, 11:00:00-12:00:00</v>
      </c>
      <c r="M290" s="1" t="str">
        <f aca="false">IF(F290="","Não alocada","Alocada")</f>
        <v>Alocada</v>
      </c>
      <c r="N290" s="17" t="s">
        <v>23</v>
      </c>
      <c r="O290" s="17" t="s">
        <v>24</v>
      </c>
    </row>
    <row r="291" customFormat="false" ht="15" hidden="false" customHeight="false" outlineLevel="0" collapsed="false">
      <c r="A291" s="28" t="s">
        <v>69</v>
      </c>
      <c r="B291" s="26" t="s">
        <v>614</v>
      </c>
      <c r="C291" s="26" t="s">
        <v>615</v>
      </c>
      <c r="D291" s="19" t="s">
        <v>19</v>
      </c>
      <c r="E291" s="26" t="s">
        <v>307</v>
      </c>
      <c r="F291" s="4" t="s">
        <v>611</v>
      </c>
      <c r="G291" s="20" t="s">
        <v>34</v>
      </c>
      <c r="H291" s="27" t="n">
        <v>0.416666666666667</v>
      </c>
      <c r="I291" s="27" t="n">
        <v>0.5</v>
      </c>
      <c r="J291" s="22" t="n">
        <v>6</v>
      </c>
      <c r="K291" s="29"/>
      <c r="L291" s="23" t="str">
        <f aca="false" t="array" ref="L291:L291">_xlfn.TEXTJOIN(", ",TRUE(),TEXT(H291+_xlfn.SEQUENCE(HOUR(I291-H291),1,0,1)/24,"hh:mm:ss") &amp; "-" &amp; TEXT(H291+_xlfn.SEQUENCE(HOUR(I291-H291),1,1,1)/24,"hh:mm:ss"))</f>
        <v>10:00:00-11:00:00, 11:00:00-12:00:00</v>
      </c>
      <c r="M291" s="1" t="str">
        <f aca="false">IF(F291="","Não alocada","Alocada")</f>
        <v>Alocada</v>
      </c>
      <c r="N291" s="17" t="s">
        <v>23</v>
      </c>
      <c r="O291" s="17" t="s">
        <v>24</v>
      </c>
    </row>
    <row r="292" customFormat="false" ht="15" hidden="false" customHeight="false" outlineLevel="0" collapsed="false">
      <c r="A292" s="28" t="s">
        <v>69</v>
      </c>
      <c r="B292" s="26" t="s">
        <v>616</v>
      </c>
      <c r="C292" s="26" t="s">
        <v>617</v>
      </c>
      <c r="D292" s="19" t="s">
        <v>19</v>
      </c>
      <c r="E292" s="26" t="s">
        <v>405</v>
      </c>
      <c r="F292" s="4" t="s">
        <v>611</v>
      </c>
      <c r="G292" s="20" t="s">
        <v>34</v>
      </c>
      <c r="H292" s="27" t="n">
        <v>0.333333333333333</v>
      </c>
      <c r="I292" s="27" t="n">
        <v>0.416666666666667</v>
      </c>
      <c r="J292" s="22" t="n">
        <v>11</v>
      </c>
      <c r="K292" s="29"/>
      <c r="L292" s="23" t="str">
        <f aca="false" t="array" ref="L292:L292">_xlfn.TEXTJOIN(", ",TRUE(),TEXT(H292+_xlfn.SEQUENCE(HOUR(I292-H292),1,0,1)/24,"hh:mm:ss") &amp; "-" &amp; TEXT(H292+_xlfn.SEQUENCE(HOUR(I292-H292),1,1,1)/24,"hh:mm:ss"))</f>
        <v>08:00:00-09:00:00, 09:00:00-10:00:00</v>
      </c>
      <c r="M292" s="1" t="str">
        <f aca="false">IF(F292="","Não alocada","Alocada")</f>
        <v>Alocada</v>
      </c>
      <c r="N292" s="17" t="s">
        <v>23</v>
      </c>
      <c r="O292" s="17" t="s">
        <v>24</v>
      </c>
    </row>
    <row r="293" customFormat="false" ht="15" hidden="false" customHeight="false" outlineLevel="0" collapsed="false">
      <c r="A293" s="18" t="s">
        <v>92</v>
      </c>
      <c r="B293" s="32" t="s">
        <v>618</v>
      </c>
      <c r="C293" s="32" t="s">
        <v>619</v>
      </c>
      <c r="D293" s="19" t="s">
        <v>19</v>
      </c>
      <c r="E293" s="32" t="s">
        <v>620</v>
      </c>
      <c r="F293" s="4" t="s">
        <v>611</v>
      </c>
      <c r="G293" s="20" t="s">
        <v>22</v>
      </c>
      <c r="H293" s="33" t="n">
        <v>0.583333333333333</v>
      </c>
      <c r="I293" s="33" t="n">
        <v>0.666666666666667</v>
      </c>
      <c r="J293" s="22" t="n">
        <v>4</v>
      </c>
      <c r="K293" s="29"/>
      <c r="L293" s="23" t="str">
        <f aca="false" t="array" ref="L293:L293">_xlfn.TEXTJOIN(", ",TRUE(),TEXT(H293+_xlfn.SEQUENCE(HOUR(I293-H293),1,0,1)/24,"hh:mm:ss") &amp; "-" &amp; TEXT(H293+_xlfn.SEQUENCE(HOUR(I293-H293),1,1,1)/24,"hh:mm:ss"))</f>
        <v>14:00:00-15:00:00, 15:00:00-16:00:00</v>
      </c>
      <c r="M293" s="1" t="str">
        <f aca="false">IF(F293="","Não alocada","Alocada")</f>
        <v>Alocada</v>
      </c>
      <c r="N293" s="17" t="s">
        <v>23</v>
      </c>
      <c r="O293" s="17" t="s">
        <v>24</v>
      </c>
    </row>
    <row r="294" customFormat="false" ht="15" hidden="false" customHeight="false" outlineLevel="0" collapsed="false">
      <c r="A294" s="18" t="s">
        <v>221</v>
      </c>
      <c r="B294" s="26" t="s">
        <v>621</v>
      </c>
      <c r="C294" s="26" t="s">
        <v>296</v>
      </c>
      <c r="D294" s="19" t="s">
        <v>541</v>
      </c>
      <c r="E294" s="26" t="s">
        <v>297</v>
      </c>
      <c r="F294" s="4" t="s">
        <v>622</v>
      </c>
      <c r="G294" s="20" t="s">
        <v>22</v>
      </c>
      <c r="H294" s="27" t="n">
        <v>0.333333333333333</v>
      </c>
      <c r="I294" s="27" t="n">
        <v>0.5</v>
      </c>
      <c r="J294" s="22" t="n">
        <v>23</v>
      </c>
      <c r="K294" s="19" t="s">
        <v>22</v>
      </c>
      <c r="L294" s="23" t="str">
        <f aca="false" t="array" ref="L294:L294">_xlfn.TEXTJOIN(", ",TRUE(),TEXT(H294+_xlfn.SEQUENCE(HOUR(I294-H294),1,0,1)/24,"hh:mm:ss") &amp; "-" &amp; TEXT(H294+_xlfn.SEQUENCE(HOUR(I294-H294),1,1,1)/24,"hh:mm:ss"))</f>
        <v>08:00:00-09:00:00, 09:00:00-10:00:00, 10:00:00-11:00:00, 11:00:00-12:00:00</v>
      </c>
      <c r="M294" s="1" t="str">
        <f aca="false">IF(F294="","Não alocada","Alocada")</f>
        <v>Alocada</v>
      </c>
      <c r="N294" s="17" t="s">
        <v>23</v>
      </c>
      <c r="O294" s="17" t="s">
        <v>24</v>
      </c>
    </row>
    <row r="295" customFormat="false" ht="15" hidden="false" customHeight="false" outlineLevel="0" collapsed="false">
      <c r="A295" s="18" t="s">
        <v>82</v>
      </c>
      <c r="B295" s="26" t="s">
        <v>623</v>
      </c>
      <c r="C295" s="26" t="s">
        <v>624</v>
      </c>
      <c r="D295" s="19" t="s">
        <v>19</v>
      </c>
      <c r="E295" s="26" t="s">
        <v>625</v>
      </c>
      <c r="F295" s="4" t="s">
        <v>622</v>
      </c>
      <c r="G295" s="20" t="s">
        <v>34</v>
      </c>
      <c r="H295" s="27" t="n">
        <v>0.416666666666667</v>
      </c>
      <c r="I295" s="27" t="n">
        <v>0.5</v>
      </c>
      <c r="J295" s="22" t="n">
        <v>8</v>
      </c>
      <c r="K295" s="29"/>
      <c r="L295" s="23" t="str">
        <f aca="false" t="array" ref="L295:L295">_xlfn.TEXTJOIN(", ",TRUE(),TEXT(H295+_xlfn.SEQUENCE(HOUR(I295-H295),1,0,1)/24,"hh:mm:ss") &amp; "-" &amp; TEXT(H295+_xlfn.SEQUENCE(HOUR(I295-H295),1,1,1)/24,"hh:mm:ss"))</f>
        <v>10:00:00-11:00:00, 11:00:00-12:00:00</v>
      </c>
      <c r="M295" s="1" t="str">
        <f aca="false">IF(F295="","Não alocada","Alocada")</f>
        <v>Alocada</v>
      </c>
      <c r="N295" s="17" t="s">
        <v>23</v>
      </c>
      <c r="O295" s="17" t="s">
        <v>24</v>
      </c>
    </row>
    <row r="296" customFormat="false" ht="15" hidden="false" customHeight="false" outlineLevel="0" collapsed="false">
      <c r="A296" s="18" t="s">
        <v>75</v>
      </c>
      <c r="B296" s="26" t="s">
        <v>626</v>
      </c>
      <c r="C296" s="26" t="s">
        <v>627</v>
      </c>
      <c r="D296" s="19" t="s">
        <v>76</v>
      </c>
      <c r="E296" s="26" t="s">
        <v>547</v>
      </c>
      <c r="F296" s="4" t="s">
        <v>628</v>
      </c>
      <c r="G296" s="20" t="s">
        <v>34</v>
      </c>
      <c r="H296" s="27" t="n">
        <v>0.416666666666667</v>
      </c>
      <c r="I296" s="27" t="n">
        <v>0.5</v>
      </c>
      <c r="J296" s="22" t="n">
        <v>24</v>
      </c>
      <c r="K296" s="29"/>
      <c r="L296" s="23" t="str">
        <f aca="false" t="array" ref="L296:L296">_xlfn.TEXTJOIN(", ",TRUE(),TEXT(H296+_xlfn.SEQUENCE(HOUR(I296-H296),1,0,1)/24,"hh:mm:ss") &amp; "-" &amp; TEXT(H296+_xlfn.SEQUENCE(HOUR(I296-H296),1,1,1)/24,"hh:mm:ss"))</f>
        <v>10:00:00-11:00:00, 11:00:00-12:00:00</v>
      </c>
      <c r="M296" s="1" t="str">
        <f aca="false">IF(F296="","Não alocada","Alocada")</f>
        <v>Alocada</v>
      </c>
      <c r="N296" s="17" t="s">
        <v>23</v>
      </c>
      <c r="O296" s="17" t="s">
        <v>24</v>
      </c>
    </row>
    <row r="297" customFormat="false" ht="15" hidden="false" customHeight="false" outlineLevel="0" collapsed="false">
      <c r="A297" s="18" t="s">
        <v>16</v>
      </c>
      <c r="B297" s="19" t="s">
        <v>629</v>
      </c>
      <c r="C297" s="19" t="s">
        <v>630</v>
      </c>
      <c r="D297" s="19" t="s">
        <v>27</v>
      </c>
      <c r="E297" s="19" t="s">
        <v>631</v>
      </c>
      <c r="F297" s="4" t="s">
        <v>632</v>
      </c>
      <c r="G297" s="35" t="s">
        <v>257</v>
      </c>
      <c r="H297" s="35" t="n">
        <v>0.583333333333333</v>
      </c>
      <c r="I297" s="35" t="n">
        <v>0.625</v>
      </c>
      <c r="J297" s="22" t="n">
        <v>14</v>
      </c>
      <c r="K297" s="37" t="s">
        <v>257</v>
      </c>
      <c r="L297" s="23" t="str">
        <f aca="false" t="array" ref="L297:L297">_xlfn.TEXTJOIN(", ",TRUE(),TEXT(H297+_xlfn.SEQUENCE(HOUR(I297-H297),1,0,1)/24,"hh:mm:ss") &amp; "-" &amp; TEXT(H297+_xlfn.SEQUENCE(HOUR(I297-H297),1,1,1)/24,"hh:mm:ss"))</f>
        <v>14:00:00-15:00:00</v>
      </c>
      <c r="M297" s="1" t="str">
        <f aca="false">IF(F297="","Não alocada","Alocada")</f>
        <v>Alocada</v>
      </c>
      <c r="N297" s="17" t="s">
        <v>23</v>
      </c>
      <c r="O297" s="17" t="s">
        <v>24</v>
      </c>
    </row>
    <row r="298" customFormat="false" ht="15" hidden="false" customHeight="false" outlineLevel="0" collapsed="false">
      <c r="A298" s="18" t="s">
        <v>16</v>
      </c>
      <c r="B298" s="19" t="s">
        <v>629</v>
      </c>
      <c r="C298" s="19" t="s">
        <v>630</v>
      </c>
      <c r="D298" s="19" t="s">
        <v>27</v>
      </c>
      <c r="E298" s="19" t="s">
        <v>631</v>
      </c>
      <c r="F298" s="4" t="s">
        <v>632</v>
      </c>
      <c r="G298" s="35" t="s">
        <v>66</v>
      </c>
      <c r="H298" s="35" t="n">
        <v>0.416666666666667</v>
      </c>
      <c r="I298" s="35" t="n">
        <v>0.5</v>
      </c>
      <c r="J298" s="22" t="n">
        <v>14</v>
      </c>
      <c r="K298" s="37" t="s">
        <v>66</v>
      </c>
      <c r="L298" s="23" t="str">
        <f aca="false" t="array" ref="L298:L298">_xlfn.TEXTJOIN(", ",TRUE(),TEXT(H298+_xlfn.SEQUENCE(HOUR(I298-H298),1,0,1)/24,"hh:mm:ss") &amp; "-" &amp; TEXT(H298+_xlfn.SEQUENCE(HOUR(I298-H298),1,1,1)/24,"hh:mm:ss"))</f>
        <v>10:00:00-11:00:00, 11:00:00-12:00:00</v>
      </c>
      <c r="M298" s="1" t="str">
        <f aca="false">IF(F298="","Não alocada","Alocada")</f>
        <v>Alocada</v>
      </c>
      <c r="N298" s="17" t="s">
        <v>23</v>
      </c>
      <c r="O298" s="17" t="s">
        <v>24</v>
      </c>
    </row>
    <row r="299" customFormat="false" ht="15" hidden="false" customHeight="false" outlineLevel="0" collapsed="false">
      <c r="A299" s="18" t="s">
        <v>16</v>
      </c>
      <c r="B299" s="19" t="s">
        <v>629</v>
      </c>
      <c r="C299" s="19" t="s">
        <v>630</v>
      </c>
      <c r="D299" s="19" t="s">
        <v>60</v>
      </c>
      <c r="E299" s="19" t="s">
        <v>633</v>
      </c>
      <c r="F299" s="4" t="s">
        <v>632</v>
      </c>
      <c r="G299" s="35" t="s">
        <v>257</v>
      </c>
      <c r="H299" s="35" t="n">
        <v>0.625</v>
      </c>
      <c r="I299" s="35" t="n">
        <v>0.666666666666667</v>
      </c>
      <c r="J299" s="22" t="n">
        <v>14</v>
      </c>
      <c r="K299" s="37" t="s">
        <v>257</v>
      </c>
      <c r="L299" s="23" t="str">
        <f aca="false" t="array" ref="L299:L299">_xlfn.TEXTJOIN(", ",TRUE(),TEXT(H299+_xlfn.SEQUENCE(HOUR(I299-H299),1,0,1)/24,"hh:mm:ss") &amp; "-" &amp; TEXT(H299+_xlfn.SEQUENCE(HOUR(I299-H299),1,1,1)/24,"hh:mm:ss"))</f>
        <v>15:00:00-16:00:00</v>
      </c>
      <c r="M299" s="1" t="str">
        <f aca="false">IF(F299="","Não alocada","Alocada")</f>
        <v>Alocada</v>
      </c>
      <c r="N299" s="17" t="s">
        <v>23</v>
      </c>
      <c r="O299" s="17" t="s">
        <v>24</v>
      </c>
    </row>
    <row r="300" customFormat="false" ht="15" hidden="false" customHeight="false" outlineLevel="0" collapsed="false">
      <c r="A300" s="18" t="s">
        <v>16</v>
      </c>
      <c r="B300" s="19" t="s">
        <v>629</v>
      </c>
      <c r="C300" s="19" t="s">
        <v>630</v>
      </c>
      <c r="D300" s="19" t="s">
        <v>60</v>
      </c>
      <c r="E300" s="19" t="s">
        <v>633</v>
      </c>
      <c r="F300" s="4" t="s">
        <v>632</v>
      </c>
      <c r="G300" s="35" t="s">
        <v>66</v>
      </c>
      <c r="H300" s="35" t="n">
        <v>0.416666666666667</v>
      </c>
      <c r="I300" s="35" t="n">
        <v>0.5</v>
      </c>
      <c r="J300" s="22" t="n">
        <v>14</v>
      </c>
      <c r="K300" s="37" t="s">
        <v>66</v>
      </c>
      <c r="L300" s="23" t="str">
        <f aca="false" t="array" ref="L300:L300">_xlfn.TEXTJOIN(", ",TRUE(),TEXT(H300+_xlfn.SEQUENCE(HOUR(I300-H300),1,0,1)/24,"hh:mm:ss") &amp; "-" &amp; TEXT(H300+_xlfn.SEQUENCE(HOUR(I300-H300),1,1,1)/24,"hh:mm:ss"))</f>
        <v>10:00:00-11:00:00, 11:00:00-12:00:00</v>
      </c>
      <c r="M300" s="1" t="str">
        <f aca="false">IF(F300="","Não alocada","Alocada")</f>
        <v>Alocada</v>
      </c>
      <c r="N300" s="17" t="s">
        <v>23</v>
      </c>
      <c r="O300" s="17" t="s">
        <v>24</v>
      </c>
    </row>
    <row r="301" customFormat="false" ht="15" hidden="false" customHeight="false" outlineLevel="0" collapsed="false">
      <c r="A301" s="18" t="s">
        <v>16</v>
      </c>
      <c r="B301" s="19" t="s">
        <v>629</v>
      </c>
      <c r="C301" s="19" t="s">
        <v>630</v>
      </c>
      <c r="D301" s="19" t="s">
        <v>41</v>
      </c>
      <c r="E301" s="19" t="s">
        <v>634</v>
      </c>
      <c r="F301" s="4" t="s">
        <v>632</v>
      </c>
      <c r="G301" s="35" t="s">
        <v>257</v>
      </c>
      <c r="H301" s="35" t="n">
        <v>0.666666666666667</v>
      </c>
      <c r="I301" s="35" t="n">
        <v>0.708333333333333</v>
      </c>
      <c r="J301" s="22" t="n">
        <v>14</v>
      </c>
      <c r="K301" s="37" t="s">
        <v>257</v>
      </c>
      <c r="L301" s="23" t="str">
        <f aca="false" t="array" ref="L301:L301">_xlfn.TEXTJOIN(", ",TRUE(),TEXT(H301+_xlfn.SEQUENCE(HOUR(I301-H301),1,0,1)/24,"hh:mm:ss") &amp; "-" &amp; TEXT(H301+_xlfn.SEQUENCE(HOUR(I301-H301),1,1,1)/24,"hh:mm:ss"))</f>
        <v>16:00:00-17:00:00</v>
      </c>
      <c r="M301" s="1" t="str">
        <f aca="false">IF(F301="","Não alocada","Alocada")</f>
        <v>Alocada</v>
      </c>
      <c r="N301" s="17" t="s">
        <v>23</v>
      </c>
      <c r="O301" s="17" t="s">
        <v>24</v>
      </c>
    </row>
    <row r="302" customFormat="false" ht="15" hidden="false" customHeight="false" outlineLevel="0" collapsed="false">
      <c r="A302" s="18" t="s">
        <v>16</v>
      </c>
      <c r="B302" s="19" t="s">
        <v>629</v>
      </c>
      <c r="C302" s="19" t="s">
        <v>630</v>
      </c>
      <c r="D302" s="19" t="s">
        <v>41</v>
      </c>
      <c r="E302" s="19" t="s">
        <v>634</v>
      </c>
      <c r="F302" s="4" t="s">
        <v>632</v>
      </c>
      <c r="G302" s="35" t="s">
        <v>66</v>
      </c>
      <c r="H302" s="35" t="n">
        <v>0.416666666666667</v>
      </c>
      <c r="I302" s="35" t="n">
        <v>0.5</v>
      </c>
      <c r="J302" s="22" t="n">
        <v>14</v>
      </c>
      <c r="K302" s="37" t="s">
        <v>66</v>
      </c>
      <c r="L302" s="23" t="str">
        <f aca="false" t="array" ref="L302:L302">_xlfn.TEXTJOIN(", ",TRUE(),TEXT(H302+_xlfn.SEQUENCE(HOUR(I302-H302),1,0,1)/24,"hh:mm:ss") &amp; "-" &amp; TEXT(H302+_xlfn.SEQUENCE(HOUR(I302-H302),1,1,1)/24,"hh:mm:ss"))</f>
        <v>10:00:00-11:00:00, 11:00:00-12:00:00</v>
      </c>
      <c r="M302" s="1" t="str">
        <f aca="false">IF(F302="","Não alocada","Alocada")</f>
        <v>Alocada</v>
      </c>
      <c r="N302" s="17" t="s">
        <v>23</v>
      </c>
      <c r="O302" s="17" t="s">
        <v>24</v>
      </c>
    </row>
    <row r="303" customFormat="false" ht="15" hidden="false" customHeight="false" outlineLevel="0" collapsed="false">
      <c r="A303" s="18" t="s">
        <v>16</v>
      </c>
      <c r="B303" s="19" t="s">
        <v>635</v>
      </c>
      <c r="C303" s="19" t="s">
        <v>636</v>
      </c>
      <c r="D303" s="19" t="s">
        <v>27</v>
      </c>
      <c r="E303" s="19" t="s">
        <v>637</v>
      </c>
      <c r="F303" s="4" t="s">
        <v>632</v>
      </c>
      <c r="G303" s="20" t="s">
        <v>66</v>
      </c>
      <c r="H303" s="21" t="n">
        <v>0.583333333333333</v>
      </c>
      <c r="I303" s="21" t="n">
        <v>0.666666666666667</v>
      </c>
      <c r="J303" s="22" t="n">
        <v>28</v>
      </c>
      <c r="K303" s="19" t="s">
        <v>66</v>
      </c>
      <c r="L303" s="23" t="str">
        <f aca="false" t="array" ref="L303:L303">_xlfn.TEXTJOIN(", ",TRUE(),TEXT(H303+_xlfn.SEQUENCE(HOUR(I303-H303),1,0,1)/24,"hh:mm:ss") &amp; "-" &amp; TEXT(H303+_xlfn.SEQUENCE(HOUR(I303-H303),1,1,1)/24,"hh:mm:ss"))</f>
        <v>14:00:00-15:00:00, 15:00:00-16:00:00</v>
      </c>
      <c r="M303" s="1" t="str">
        <f aca="false">IF(F303="","Não alocada","Alocada")</f>
        <v>Alocada</v>
      </c>
      <c r="N303" s="17" t="s">
        <v>23</v>
      </c>
      <c r="O303" s="17" t="s">
        <v>24</v>
      </c>
    </row>
    <row r="304" customFormat="false" ht="15" hidden="false" customHeight="false" outlineLevel="0" collapsed="false">
      <c r="A304" s="18" t="s">
        <v>16</v>
      </c>
      <c r="B304" s="19" t="s">
        <v>638</v>
      </c>
      <c r="C304" s="19" t="s">
        <v>639</v>
      </c>
      <c r="D304" s="19" t="s">
        <v>19</v>
      </c>
      <c r="E304" s="19" t="s">
        <v>637</v>
      </c>
      <c r="F304" s="4" t="s">
        <v>632</v>
      </c>
      <c r="G304" s="20" t="s">
        <v>45</v>
      </c>
      <c r="H304" s="21" t="n">
        <v>0.666666666666667</v>
      </c>
      <c r="I304" s="21" t="n">
        <v>0.75</v>
      </c>
      <c r="J304" s="22" t="n">
        <v>14</v>
      </c>
      <c r="K304" s="19" t="s">
        <v>45</v>
      </c>
      <c r="L304" s="23" t="str">
        <f aca="false" t="array" ref="L304:L304">_xlfn.TEXTJOIN(", ",TRUE(),TEXT(H304+_xlfn.SEQUENCE(HOUR(I304-H304),1,0,1)/24,"hh:mm:ss") &amp; "-" &amp; TEXT(H304+_xlfn.SEQUENCE(HOUR(I304-H304),1,1,1)/24,"hh:mm:ss"))</f>
        <v>16:00:00-17:00:00, 17:00:00-18:00:00</v>
      </c>
      <c r="M304" s="1" t="str">
        <f aca="false">IF(F304="","Não alocada","Alocada")</f>
        <v>Alocada</v>
      </c>
      <c r="N304" s="17" t="s">
        <v>23</v>
      </c>
      <c r="O304" s="17" t="s">
        <v>24</v>
      </c>
    </row>
    <row r="305" customFormat="false" ht="15" hidden="false" customHeight="false" outlineLevel="0" collapsed="false">
      <c r="A305" s="18" t="s">
        <v>221</v>
      </c>
      <c r="B305" s="26" t="s">
        <v>640</v>
      </c>
      <c r="C305" s="26" t="s">
        <v>641</v>
      </c>
      <c r="D305" s="19" t="s">
        <v>19</v>
      </c>
      <c r="E305" s="26" t="s">
        <v>642</v>
      </c>
      <c r="F305" s="4" t="s">
        <v>632</v>
      </c>
      <c r="G305" s="20" t="s">
        <v>257</v>
      </c>
      <c r="H305" s="27" t="n">
        <v>0.416666666666667</v>
      </c>
      <c r="I305" s="27" t="n">
        <v>0.541666666666667</v>
      </c>
      <c r="J305" s="22" t="n">
        <v>27</v>
      </c>
      <c r="K305" s="19" t="s">
        <v>257</v>
      </c>
      <c r="L305" s="23" t="str">
        <f aca="false" t="array" ref="L305:L305">_xlfn.TEXTJOIN(", ",TRUE(),TEXT(H305+_xlfn.SEQUENCE(HOUR(I305-H305),1,0,1)/24,"hh:mm:ss") &amp; "-" &amp; TEXT(H305+_xlfn.SEQUENCE(HOUR(I305-H305),1,1,1)/24,"hh:mm:ss"))</f>
        <v>10:00:00-11:00:00, 11:00:00-12:00:00, 12:00:00-13:00:00</v>
      </c>
      <c r="M305" s="1" t="str">
        <f aca="false">IF(F305="","Não alocada","Alocada")</f>
        <v>Alocada</v>
      </c>
      <c r="N305" s="17" t="s">
        <v>23</v>
      </c>
      <c r="O305" s="17" t="s">
        <v>24</v>
      </c>
    </row>
    <row r="306" customFormat="false" ht="15" hidden="false" customHeight="false" outlineLevel="0" collapsed="false">
      <c r="A306" s="18" t="s">
        <v>221</v>
      </c>
      <c r="B306" s="26" t="s">
        <v>643</v>
      </c>
      <c r="C306" s="26" t="s">
        <v>644</v>
      </c>
      <c r="D306" s="19" t="s">
        <v>19</v>
      </c>
      <c r="E306" s="26" t="s">
        <v>645</v>
      </c>
      <c r="F306" s="4" t="s">
        <v>632</v>
      </c>
      <c r="G306" s="20" t="s">
        <v>45</v>
      </c>
      <c r="H306" s="27" t="n">
        <v>0.416666666666667</v>
      </c>
      <c r="I306" s="27" t="n">
        <v>0.541666666666667</v>
      </c>
      <c r="J306" s="22" t="n">
        <v>9</v>
      </c>
      <c r="K306" s="19" t="s">
        <v>45</v>
      </c>
      <c r="L306" s="23" t="str">
        <f aca="false" t="array" ref="L306:L306">_xlfn.TEXTJOIN(", ",TRUE(),TEXT(H306+_xlfn.SEQUENCE(HOUR(I306-H306),1,0,1)/24,"hh:mm:ss") &amp; "-" &amp; TEXT(H306+_xlfn.SEQUENCE(HOUR(I306-H306),1,1,1)/24,"hh:mm:ss"))</f>
        <v>10:00:00-11:00:00, 11:00:00-12:00:00, 12:00:00-13:00:00</v>
      </c>
      <c r="M306" s="1" t="str">
        <f aca="false">IF(F306="","Não alocada","Alocada")</f>
        <v>Alocada</v>
      </c>
      <c r="N306" s="17" t="s">
        <v>23</v>
      </c>
      <c r="O306" s="17" t="s">
        <v>24</v>
      </c>
    </row>
    <row r="307" customFormat="false" ht="15" hidden="false" customHeight="false" outlineLevel="0" collapsed="false">
      <c r="A307" s="18" t="s">
        <v>75</v>
      </c>
      <c r="B307" s="26" t="s">
        <v>646</v>
      </c>
      <c r="C307" s="26" t="s">
        <v>647</v>
      </c>
      <c r="D307" s="19" t="s">
        <v>76</v>
      </c>
      <c r="E307" s="26" t="s">
        <v>648</v>
      </c>
      <c r="F307" s="4" t="s">
        <v>632</v>
      </c>
      <c r="G307" s="20" t="s">
        <v>117</v>
      </c>
      <c r="H307" s="27" t="n">
        <v>0.333333333333333</v>
      </c>
      <c r="I307" s="27" t="n">
        <v>0.416666666666667</v>
      </c>
      <c r="J307" s="22" t="n">
        <v>42</v>
      </c>
      <c r="K307" s="29"/>
      <c r="L307" s="23" t="str">
        <f aca="false" t="array" ref="L307:L307">_xlfn.TEXTJOIN(", ",TRUE(),TEXT(H307+_xlfn.SEQUENCE(HOUR(I307-H307),1,0,1)/24,"hh:mm:ss") &amp; "-" &amp; TEXT(H307+_xlfn.SEQUENCE(HOUR(I307-H307),1,1,1)/24,"hh:mm:ss"))</f>
        <v>08:00:00-09:00:00, 09:00:00-10:00:00</v>
      </c>
      <c r="M307" s="1" t="str">
        <f aca="false">IF(F307="","Não alocada","Alocada")</f>
        <v>Alocada</v>
      </c>
      <c r="N307" s="17" t="s">
        <v>23</v>
      </c>
      <c r="O307" s="17" t="s">
        <v>24</v>
      </c>
    </row>
    <row r="308" customFormat="false" ht="15" hidden="false" customHeight="false" outlineLevel="0" collapsed="false">
      <c r="A308" s="18" t="s">
        <v>83</v>
      </c>
      <c r="B308" s="26" t="s">
        <v>649</v>
      </c>
      <c r="C308" s="26" t="s">
        <v>650</v>
      </c>
      <c r="D308" s="19" t="s">
        <v>76</v>
      </c>
      <c r="E308" s="26" t="s">
        <v>651</v>
      </c>
      <c r="F308" s="4" t="s">
        <v>632</v>
      </c>
      <c r="G308" s="20" t="s">
        <v>56</v>
      </c>
      <c r="H308" s="27" t="n">
        <v>0.666666666666667</v>
      </c>
      <c r="I308" s="27" t="n">
        <v>0.833333333333333</v>
      </c>
      <c r="J308" s="22" t="n">
        <v>21</v>
      </c>
      <c r="K308" s="29"/>
      <c r="L308" s="23" t="str">
        <f aca="false" t="array" ref="L308:L308">_xlfn.TEXTJOIN(", ",TRUE(),TEXT(H308+_xlfn.SEQUENCE(HOUR(I308-H308),1,0,1)/24,"hh:mm:ss") &amp; "-" &amp; TEXT(H308+_xlfn.SEQUENCE(HOUR(I308-H308),1,1,1)/24,"hh:mm:ss"))</f>
        <v>16:00:00-17:00:00, 17:00:00-18:00:00, 18:00:00-19:00:00, 19:00:00-20:00:00</v>
      </c>
      <c r="M308" s="1" t="str">
        <f aca="false">IF(F308="","Não alocada","Alocada")</f>
        <v>Alocada</v>
      </c>
      <c r="N308" s="17" t="s">
        <v>23</v>
      </c>
      <c r="O308" s="17" t="s">
        <v>24</v>
      </c>
    </row>
    <row r="309" customFormat="false" ht="15" hidden="false" customHeight="false" outlineLevel="0" collapsed="false">
      <c r="A309" s="18" t="s">
        <v>83</v>
      </c>
      <c r="B309" s="26" t="s">
        <v>652</v>
      </c>
      <c r="C309" s="26" t="s">
        <v>653</v>
      </c>
      <c r="D309" s="19" t="s">
        <v>76</v>
      </c>
      <c r="E309" s="26" t="s">
        <v>651</v>
      </c>
      <c r="F309" s="4" t="s">
        <v>632</v>
      </c>
      <c r="G309" s="20" t="s">
        <v>22</v>
      </c>
      <c r="H309" s="27" t="n">
        <v>0.583333333333333</v>
      </c>
      <c r="I309" s="27" t="n">
        <v>0.75</v>
      </c>
      <c r="J309" s="22" t="n">
        <v>22</v>
      </c>
      <c r="K309" s="29"/>
      <c r="L309" s="23" t="str">
        <f aca="false" t="array" ref="L309:L309">_xlfn.TEXTJOIN(", ",TRUE(),TEXT(H309+_xlfn.SEQUENCE(HOUR(I309-H309),1,0,1)/24,"hh:mm:ss") &amp; "-" &amp; TEXT(H309+_xlfn.SEQUENCE(HOUR(I309-H309),1,1,1)/24,"hh:mm:ss"))</f>
        <v>14:00:00-15:00:00, 15:00:00-16:00:00, 16:00:00-17:00:00, 17:00:00-18:00:00</v>
      </c>
      <c r="M309" s="1" t="str">
        <f aca="false">IF(F309="","Não alocada","Alocada")</f>
        <v>Alocada</v>
      </c>
      <c r="N309" s="17" t="s">
        <v>23</v>
      </c>
      <c r="O309" s="17" t="s">
        <v>24</v>
      </c>
    </row>
    <row r="310" customFormat="false" ht="15" hidden="false" customHeight="false" outlineLevel="0" collapsed="false">
      <c r="A310" s="18" t="s">
        <v>16</v>
      </c>
      <c r="B310" s="19" t="s">
        <v>654</v>
      </c>
      <c r="C310" s="19" t="s">
        <v>655</v>
      </c>
      <c r="D310" s="19" t="s">
        <v>60</v>
      </c>
      <c r="E310" s="19" t="s">
        <v>185</v>
      </c>
      <c r="F310" s="4" t="s">
        <v>656</v>
      </c>
      <c r="G310" s="20" t="s">
        <v>29</v>
      </c>
      <c r="H310" s="21" t="n">
        <v>0.333333333333333</v>
      </c>
      <c r="I310" s="21" t="n">
        <v>0.458333333333333</v>
      </c>
      <c r="J310" s="22" t="n">
        <v>0</v>
      </c>
      <c r="K310" s="19" t="s">
        <v>29</v>
      </c>
      <c r="L310" s="23" t="str">
        <f aca="false" t="array" ref="L310:L310">_xlfn.TEXTJOIN(", ",TRUE(),TEXT(H310+_xlfn.SEQUENCE(HOUR(I310-H310),1,0,1)/24,"hh:mm:ss") &amp; "-" &amp; TEXT(H310+_xlfn.SEQUENCE(HOUR(I310-H310),1,1,1)/24,"hh:mm:ss"))</f>
        <v>08:00:00-09:00:00, 09:00:00-10:00:00, 10:00:00-11:00:00</v>
      </c>
      <c r="M310" s="1" t="str">
        <f aca="false">IF(F310="","Não alocada","Alocada")</f>
        <v>Alocada</v>
      </c>
      <c r="N310" s="17" t="s">
        <v>23</v>
      </c>
      <c r="O310" s="17" t="s">
        <v>24</v>
      </c>
    </row>
    <row r="311" customFormat="false" ht="15" hidden="false" customHeight="false" outlineLevel="0" collapsed="false">
      <c r="A311" s="18" t="s">
        <v>52</v>
      </c>
      <c r="B311" s="26" t="s">
        <v>657</v>
      </c>
      <c r="C311" s="26" t="s">
        <v>658</v>
      </c>
      <c r="D311" s="19" t="s">
        <v>27</v>
      </c>
      <c r="E311" s="26" t="s">
        <v>659</v>
      </c>
      <c r="F311" s="4" t="s">
        <v>656</v>
      </c>
      <c r="G311" s="20" t="s">
        <v>34</v>
      </c>
      <c r="H311" s="27" t="n">
        <v>0.416666666666667</v>
      </c>
      <c r="I311" s="27" t="n">
        <v>0.5</v>
      </c>
      <c r="J311" s="22" t="n">
        <v>13</v>
      </c>
      <c r="K311" s="19" t="s">
        <v>34</v>
      </c>
      <c r="L311" s="23" t="str">
        <f aca="false" t="array" ref="L311:L311">_xlfn.TEXTJOIN(", ",TRUE(),TEXT(H311+_xlfn.SEQUENCE(HOUR(I311-H311),1,0,1)/24,"hh:mm:ss") &amp; "-" &amp; TEXT(H311+_xlfn.SEQUENCE(HOUR(I311-H311),1,1,1)/24,"hh:mm:ss"))</f>
        <v>10:00:00-11:00:00, 11:00:00-12:00:00</v>
      </c>
      <c r="M311" s="1" t="str">
        <f aca="false">IF(F311="","Não alocada","Alocada")</f>
        <v>Alocada</v>
      </c>
      <c r="N311" s="17" t="s">
        <v>23</v>
      </c>
      <c r="O311" s="17" t="s">
        <v>24</v>
      </c>
    </row>
    <row r="312" customFormat="false" ht="15" hidden="false" customHeight="false" outlineLevel="0" collapsed="false">
      <c r="A312" s="18" t="s">
        <v>75</v>
      </c>
      <c r="B312" s="26" t="s">
        <v>660</v>
      </c>
      <c r="C312" s="26" t="s">
        <v>661</v>
      </c>
      <c r="D312" s="19" t="s">
        <v>76</v>
      </c>
      <c r="E312" s="26" t="s">
        <v>569</v>
      </c>
      <c r="F312" s="4" t="s">
        <v>656</v>
      </c>
      <c r="G312" s="20" t="s">
        <v>34</v>
      </c>
      <c r="H312" s="27" t="n">
        <v>0.333333333333333</v>
      </c>
      <c r="I312" s="27" t="n">
        <v>0.416666666666667</v>
      </c>
      <c r="J312" s="22" t="n">
        <v>38</v>
      </c>
      <c r="K312" s="29"/>
      <c r="L312" s="23" t="str">
        <f aca="false" t="array" ref="L312:L312">_xlfn.TEXTJOIN(", ",TRUE(),TEXT(H312+_xlfn.SEQUENCE(HOUR(I312-H312),1,0,1)/24,"hh:mm:ss") &amp; "-" &amp; TEXT(H312+_xlfn.SEQUENCE(HOUR(I312-H312),1,1,1)/24,"hh:mm:ss"))</f>
        <v>08:00:00-09:00:00, 09:00:00-10:00:00</v>
      </c>
      <c r="M312" s="1" t="str">
        <f aca="false">IF(F312="","Não alocada","Alocada")</f>
        <v>Alocada</v>
      </c>
      <c r="N312" s="17" t="s">
        <v>23</v>
      </c>
      <c r="O312" s="17" t="s">
        <v>24</v>
      </c>
    </row>
    <row r="313" customFormat="false" ht="15" hidden="false" customHeight="false" outlineLevel="0" collapsed="false">
      <c r="A313" s="18" t="s">
        <v>75</v>
      </c>
      <c r="B313" s="26" t="s">
        <v>662</v>
      </c>
      <c r="C313" s="26" t="s">
        <v>663</v>
      </c>
      <c r="D313" s="19" t="s">
        <v>76</v>
      </c>
      <c r="E313" s="26" t="s">
        <v>664</v>
      </c>
      <c r="F313" s="4" t="s">
        <v>656</v>
      </c>
      <c r="G313" s="20" t="s">
        <v>34</v>
      </c>
      <c r="H313" s="27" t="n">
        <v>0.583333333333333</v>
      </c>
      <c r="I313" s="27" t="n">
        <v>0.666666666666667</v>
      </c>
      <c r="J313" s="22" t="n">
        <v>25</v>
      </c>
      <c r="K313" s="29"/>
      <c r="L313" s="23" t="str">
        <f aca="false" t="array" ref="L313:L313">_xlfn.TEXTJOIN(", ",TRUE(),TEXT(H313+_xlfn.SEQUENCE(HOUR(I313-H313),1,0,1)/24,"hh:mm:ss") &amp; "-" &amp; TEXT(H313+_xlfn.SEQUENCE(HOUR(I313-H313),1,1,1)/24,"hh:mm:ss"))</f>
        <v>14:00:00-15:00:00, 15:00:00-16:00:00</v>
      </c>
      <c r="M313" s="1" t="str">
        <f aca="false">IF(F313="","Não alocada","Alocada")</f>
        <v>Alocada</v>
      </c>
      <c r="N313" s="17" t="s">
        <v>23</v>
      </c>
      <c r="O313" s="17" t="s">
        <v>24</v>
      </c>
    </row>
    <row r="314" customFormat="false" ht="15" hidden="false" customHeight="false" outlineLevel="0" collapsed="false">
      <c r="A314" s="18" t="s">
        <v>221</v>
      </c>
      <c r="B314" s="26" t="s">
        <v>665</v>
      </c>
      <c r="C314" s="26" t="s">
        <v>666</v>
      </c>
      <c r="D314" s="19" t="s">
        <v>73</v>
      </c>
      <c r="E314" s="26" t="s">
        <v>667</v>
      </c>
      <c r="F314" s="4" t="s">
        <v>668</v>
      </c>
      <c r="G314" s="35" t="s">
        <v>22</v>
      </c>
      <c r="H314" s="36" t="n">
        <v>0.333333333333333</v>
      </c>
      <c r="I314" s="36" t="n">
        <v>0.416666666666667</v>
      </c>
      <c r="J314" s="22" t="n">
        <v>20</v>
      </c>
      <c r="K314" s="37" t="s">
        <v>22</v>
      </c>
      <c r="L314" s="23" t="str">
        <f aca="false" t="array" ref="L314:L314">_xlfn.TEXTJOIN(", ",TRUE(),TEXT(H314+_xlfn.SEQUENCE(HOUR(I314-H314),1,0,1)/24,"hh:mm:ss") &amp; "-" &amp; TEXT(H314+_xlfn.SEQUENCE(HOUR(I314-H314),1,1,1)/24,"hh:mm:ss"))</f>
        <v>08:00:00-09:00:00, 09:00:00-10:00:00</v>
      </c>
      <c r="M314" s="1" t="str">
        <f aca="false">IF(F314="","Não alocada","Alocada")</f>
        <v>Alocada</v>
      </c>
      <c r="N314" s="17" t="s">
        <v>23</v>
      </c>
      <c r="O314" s="17" t="s">
        <v>24</v>
      </c>
    </row>
    <row r="315" customFormat="false" ht="15" hidden="false" customHeight="false" outlineLevel="0" collapsed="false">
      <c r="A315" s="18" t="s">
        <v>221</v>
      </c>
      <c r="B315" s="26" t="s">
        <v>665</v>
      </c>
      <c r="C315" s="26" t="s">
        <v>666</v>
      </c>
      <c r="D315" s="19" t="s">
        <v>73</v>
      </c>
      <c r="E315" s="26" t="s">
        <v>667</v>
      </c>
      <c r="F315" s="4" t="s">
        <v>668</v>
      </c>
      <c r="G315" s="35" t="s">
        <v>56</v>
      </c>
      <c r="H315" s="36" t="n">
        <v>0.333333333333333</v>
      </c>
      <c r="I315" s="36" t="n">
        <v>0.375</v>
      </c>
      <c r="J315" s="22" t="n">
        <v>20</v>
      </c>
      <c r="K315" s="37" t="s">
        <v>56</v>
      </c>
      <c r="L315" s="23" t="str">
        <f aca="false" t="array" ref="L315:L315">_xlfn.TEXTJOIN(", ",TRUE(),TEXT(H315+_xlfn.SEQUENCE(HOUR(I315-H315),1,0,1)/24,"hh:mm:ss") &amp; "-" &amp; TEXT(H315+_xlfn.SEQUENCE(HOUR(I315-H315),1,1,1)/24,"hh:mm:ss"))</f>
        <v>08:00:00-09:00:00</v>
      </c>
      <c r="M315" s="1" t="str">
        <f aca="false">IF(F315="","Não alocada","Alocada")</f>
        <v>Alocada</v>
      </c>
      <c r="N315" s="17" t="s">
        <v>23</v>
      </c>
      <c r="O315" s="17" t="s">
        <v>24</v>
      </c>
    </row>
    <row r="316" customFormat="false" ht="15" hidden="false" customHeight="false" outlineLevel="0" collapsed="false">
      <c r="A316" s="18" t="s">
        <v>52</v>
      </c>
      <c r="B316" s="26" t="s">
        <v>669</v>
      </c>
      <c r="C316" s="26" t="s">
        <v>670</v>
      </c>
      <c r="D316" s="19" t="s">
        <v>19</v>
      </c>
      <c r="E316" s="26" t="s">
        <v>594</v>
      </c>
      <c r="F316" s="4" t="s">
        <v>671</v>
      </c>
      <c r="G316" s="35" t="s">
        <v>56</v>
      </c>
      <c r="H316" s="36" t="n">
        <v>0.333333333333333</v>
      </c>
      <c r="I316" s="36" t="n">
        <v>0.416666666666667</v>
      </c>
      <c r="J316" s="22" t="n">
        <v>36</v>
      </c>
      <c r="K316" s="37" t="s">
        <v>56</v>
      </c>
      <c r="L316" s="23" t="str">
        <f aca="false" t="array" ref="L316:L316">_xlfn.TEXTJOIN(", ",TRUE(),TEXT(H316+_xlfn.SEQUENCE(HOUR(I316-H316),1,0,1)/24,"hh:mm:ss") &amp; "-" &amp; TEXT(H316+_xlfn.SEQUENCE(HOUR(I316-H316),1,1,1)/24,"hh:mm:ss"))</f>
        <v>08:00:00-09:00:00, 09:00:00-10:00:00</v>
      </c>
      <c r="M316" s="1" t="str">
        <f aca="false">IF(F316="","Não alocada","Alocada")</f>
        <v>Alocada</v>
      </c>
      <c r="N316" s="17" t="s">
        <v>23</v>
      </c>
      <c r="O316" s="17" t="s">
        <v>24</v>
      </c>
    </row>
    <row r="317" customFormat="false" ht="15" hidden="false" customHeight="false" outlineLevel="0" collapsed="false">
      <c r="A317" s="18" t="s">
        <v>52</v>
      </c>
      <c r="B317" s="26" t="s">
        <v>669</v>
      </c>
      <c r="C317" s="26" t="s">
        <v>670</v>
      </c>
      <c r="D317" s="19" t="s">
        <v>19</v>
      </c>
      <c r="E317" s="26" t="s">
        <v>594</v>
      </c>
      <c r="F317" s="4" t="s">
        <v>671</v>
      </c>
      <c r="G317" s="35" t="s">
        <v>66</v>
      </c>
      <c r="H317" s="36" t="n">
        <v>0.416666666666667</v>
      </c>
      <c r="I317" s="36" t="n">
        <v>0.5</v>
      </c>
      <c r="J317" s="22" t="n">
        <v>36</v>
      </c>
      <c r="K317" s="37" t="s">
        <v>66</v>
      </c>
      <c r="L317" s="23" t="str">
        <f aca="false" t="array" ref="L317:L317">_xlfn.TEXTJOIN(", ",TRUE(),TEXT(H317+_xlfn.SEQUENCE(HOUR(I317-H317),1,0,1)/24,"hh:mm:ss") &amp; "-" &amp; TEXT(H317+_xlfn.SEQUENCE(HOUR(I317-H317),1,1,1)/24,"hh:mm:ss"))</f>
        <v>10:00:00-11:00:00, 11:00:00-12:00:00</v>
      </c>
      <c r="M317" s="1" t="str">
        <f aca="false">IF(F317="","Não alocada","Alocada")</f>
        <v>Alocada</v>
      </c>
      <c r="N317" s="17" t="s">
        <v>23</v>
      </c>
      <c r="O317" s="17" t="s">
        <v>24</v>
      </c>
    </row>
    <row r="318" customFormat="false" ht="15" hidden="false" customHeight="false" outlineLevel="0" collapsed="false">
      <c r="A318" s="18" t="s">
        <v>52</v>
      </c>
      <c r="B318" s="26" t="s">
        <v>669</v>
      </c>
      <c r="C318" s="26" t="s">
        <v>670</v>
      </c>
      <c r="D318" s="19" t="s">
        <v>73</v>
      </c>
      <c r="E318" s="26" t="s">
        <v>672</v>
      </c>
      <c r="F318" s="4" t="s">
        <v>671</v>
      </c>
      <c r="G318" s="20" t="s">
        <v>117</v>
      </c>
      <c r="H318" s="27" t="n">
        <v>0.583333333333333</v>
      </c>
      <c r="I318" s="27" t="n">
        <v>0.666666666666667</v>
      </c>
      <c r="J318" s="22" t="n">
        <v>36</v>
      </c>
      <c r="K318" s="19" t="s">
        <v>117</v>
      </c>
      <c r="L318" s="23" t="str">
        <f aca="false" t="array" ref="L318:L318">_xlfn.TEXTJOIN(", ",TRUE(),TEXT(H318+_xlfn.SEQUENCE(HOUR(I318-H318),1,0,1)/24,"hh:mm:ss") &amp; "-" &amp; TEXT(H318+_xlfn.SEQUENCE(HOUR(I318-H318),1,1,1)/24,"hh:mm:ss"))</f>
        <v>14:00:00-15:00:00, 15:00:00-16:00:00</v>
      </c>
      <c r="M318" s="1" t="str">
        <f aca="false">IF(F318="","Não alocada","Alocada")</f>
        <v>Alocada</v>
      </c>
      <c r="N318" s="17" t="s">
        <v>23</v>
      </c>
      <c r="O318" s="17" t="s">
        <v>24</v>
      </c>
    </row>
    <row r="319" customFormat="false" ht="15" hidden="false" customHeight="false" outlineLevel="0" collapsed="false">
      <c r="A319" s="18" t="s">
        <v>92</v>
      </c>
      <c r="B319" s="32" t="s">
        <v>673</v>
      </c>
      <c r="C319" s="32" t="s">
        <v>674</v>
      </c>
      <c r="D319" s="19" t="s">
        <v>19</v>
      </c>
      <c r="E319" s="32" t="s">
        <v>675</v>
      </c>
      <c r="F319" s="4" t="s">
        <v>671</v>
      </c>
      <c r="G319" s="20" t="s">
        <v>22</v>
      </c>
      <c r="H319" s="33" t="n">
        <v>0.416666666666667</v>
      </c>
      <c r="I319" s="33" t="n">
        <v>0.5</v>
      </c>
      <c r="J319" s="22" t="n">
        <v>19</v>
      </c>
      <c r="K319" s="29"/>
      <c r="L319" s="23" t="str">
        <f aca="false" t="array" ref="L319:L319">_xlfn.TEXTJOIN(", ",TRUE(),TEXT(H319+_xlfn.SEQUENCE(HOUR(I319-H319),1,0,1)/24,"hh:mm:ss") &amp; "-" &amp; TEXT(H319+_xlfn.SEQUENCE(HOUR(I319-H319),1,1,1)/24,"hh:mm:ss"))</f>
        <v>10:00:00-11:00:00, 11:00:00-12:00:00</v>
      </c>
      <c r="M319" s="1" t="str">
        <f aca="false">IF(F319="","Não alocada","Alocada")</f>
        <v>Alocada</v>
      </c>
      <c r="N319" s="17" t="s">
        <v>23</v>
      </c>
      <c r="O319" s="17" t="s">
        <v>24</v>
      </c>
    </row>
    <row r="320" customFormat="false" ht="15" hidden="false" customHeight="false" outlineLevel="0" collapsed="false">
      <c r="A320" s="18" t="s">
        <v>16</v>
      </c>
      <c r="B320" s="19" t="s">
        <v>676</v>
      </c>
      <c r="C320" s="19" t="s">
        <v>677</v>
      </c>
      <c r="D320" s="19" t="s">
        <v>27</v>
      </c>
      <c r="E320" s="19" t="s">
        <v>678</v>
      </c>
      <c r="F320" s="4" t="s">
        <v>679</v>
      </c>
      <c r="G320" s="20" t="s">
        <v>29</v>
      </c>
      <c r="H320" s="21" t="n">
        <v>0.583333333333333</v>
      </c>
      <c r="I320" s="21" t="n">
        <v>0.666666666666667</v>
      </c>
      <c r="J320" s="22" t="n">
        <v>34</v>
      </c>
      <c r="K320" s="19" t="s">
        <v>29</v>
      </c>
      <c r="L320" s="23" t="str">
        <f aca="false" t="array" ref="L320:L320">_xlfn.TEXTJOIN(", ",TRUE(),TEXT(H320+_xlfn.SEQUENCE(HOUR(I320-H320),1,0,1)/24,"hh:mm:ss") &amp; "-" &amp; TEXT(H320+_xlfn.SEQUENCE(HOUR(I320-H320),1,1,1)/24,"hh:mm:ss"))</f>
        <v>14:00:00-15:00:00, 15:00:00-16:00:00</v>
      </c>
      <c r="M320" s="1" t="str">
        <f aca="false">IF(F320="","Não alocada","Alocada")</f>
        <v>Alocada</v>
      </c>
      <c r="N320" s="17" t="s">
        <v>23</v>
      </c>
      <c r="O320" s="17" t="s">
        <v>24</v>
      </c>
    </row>
    <row r="321" customFormat="false" ht="15" hidden="false" customHeight="false" outlineLevel="0" collapsed="false">
      <c r="A321" s="18" t="s">
        <v>16</v>
      </c>
      <c r="B321" s="19" t="s">
        <v>680</v>
      </c>
      <c r="C321" s="19" t="s">
        <v>681</v>
      </c>
      <c r="D321" s="19" t="s">
        <v>27</v>
      </c>
      <c r="E321" s="19" t="s">
        <v>678</v>
      </c>
      <c r="F321" s="4" t="s">
        <v>679</v>
      </c>
      <c r="G321" s="20" t="s">
        <v>29</v>
      </c>
      <c r="H321" s="21" t="n">
        <v>0.666666666666667</v>
      </c>
      <c r="I321" s="21" t="n">
        <v>0.75</v>
      </c>
      <c r="J321" s="22" t="n">
        <v>19</v>
      </c>
      <c r="K321" s="19" t="s">
        <v>29</v>
      </c>
      <c r="L321" s="23" t="str">
        <f aca="false" t="array" ref="L321:L321">_xlfn.TEXTJOIN(", ",TRUE(),TEXT(H321+_xlfn.SEQUENCE(HOUR(I321-H321),1,0,1)/24,"hh:mm:ss") &amp; "-" &amp; TEXT(H321+_xlfn.SEQUENCE(HOUR(I321-H321),1,1,1)/24,"hh:mm:ss"))</f>
        <v>16:00:00-17:00:00, 17:00:00-18:00:00</v>
      </c>
      <c r="M321" s="1" t="str">
        <f aca="false">IF(F321="","Não alocada","Alocada")</f>
        <v>Alocada</v>
      </c>
      <c r="N321" s="17" t="s">
        <v>23</v>
      </c>
      <c r="O321" s="17" t="s">
        <v>24</v>
      </c>
    </row>
    <row r="322" customFormat="false" ht="15" hidden="false" customHeight="false" outlineLevel="0" collapsed="false">
      <c r="A322" s="18" t="s">
        <v>16</v>
      </c>
      <c r="B322" s="19" t="s">
        <v>682</v>
      </c>
      <c r="C322" s="19" t="s">
        <v>683</v>
      </c>
      <c r="D322" s="19" t="s">
        <v>27</v>
      </c>
      <c r="E322" s="19" t="s">
        <v>684</v>
      </c>
      <c r="F322" s="4" t="s">
        <v>679</v>
      </c>
      <c r="G322" s="20" t="s">
        <v>34</v>
      </c>
      <c r="H322" s="21" t="n">
        <v>0.583333333333333</v>
      </c>
      <c r="I322" s="21" t="n">
        <v>0.666666666666667</v>
      </c>
      <c r="J322" s="22" t="n">
        <v>34</v>
      </c>
      <c r="K322" s="19" t="s">
        <v>34</v>
      </c>
      <c r="L322" s="23" t="str">
        <f aca="false" t="array" ref="L322:L322">_xlfn.TEXTJOIN(", ",TRUE(),TEXT(H322+_xlfn.SEQUENCE(HOUR(I322-H322),1,0,1)/24,"hh:mm:ss") &amp; "-" &amp; TEXT(H322+_xlfn.SEQUENCE(HOUR(I322-H322),1,1,1)/24,"hh:mm:ss"))</f>
        <v>14:00:00-15:00:00, 15:00:00-16:00:00</v>
      </c>
      <c r="M322" s="1" t="str">
        <f aca="false">IF(F322="","Não alocada","Alocada")</f>
        <v>Alocada</v>
      </c>
      <c r="N322" s="17" t="s">
        <v>23</v>
      </c>
      <c r="O322" s="17" t="s">
        <v>24</v>
      </c>
    </row>
    <row r="323" customFormat="false" ht="15" hidden="false" customHeight="false" outlineLevel="0" collapsed="false">
      <c r="A323" s="18" t="s">
        <v>16</v>
      </c>
      <c r="B323" s="19" t="s">
        <v>685</v>
      </c>
      <c r="C323" s="19" t="s">
        <v>686</v>
      </c>
      <c r="D323" s="19" t="s">
        <v>228</v>
      </c>
      <c r="E323" s="19" t="s">
        <v>687</v>
      </c>
      <c r="F323" s="4" t="s">
        <v>679</v>
      </c>
      <c r="G323" s="20" t="s">
        <v>34</v>
      </c>
      <c r="H323" s="21" t="n">
        <v>0.333333333333333</v>
      </c>
      <c r="I323" s="21" t="n">
        <v>0.416666666666667</v>
      </c>
      <c r="J323" s="22" t="n">
        <v>22</v>
      </c>
      <c r="K323" s="19" t="s">
        <v>34</v>
      </c>
      <c r="L323" s="23" t="str">
        <f aca="false" t="array" ref="L323:L323">_xlfn.TEXTJOIN(", ",TRUE(),TEXT(H323+_xlfn.SEQUENCE(HOUR(I323-H323),1,0,1)/24,"hh:mm:ss") &amp; "-" &amp; TEXT(H323+_xlfn.SEQUENCE(HOUR(I323-H323),1,1,1)/24,"hh:mm:ss"))</f>
        <v>08:00:00-09:00:00, 09:00:00-10:00:00</v>
      </c>
      <c r="M323" s="1" t="str">
        <f aca="false">IF(F323="","Não alocada","Alocada")</f>
        <v>Alocada</v>
      </c>
      <c r="N323" s="17" t="s">
        <v>23</v>
      </c>
      <c r="O323" s="17" t="s">
        <v>24</v>
      </c>
    </row>
    <row r="324" customFormat="false" ht="15" hidden="false" customHeight="false" outlineLevel="0" collapsed="false">
      <c r="A324" s="18" t="s">
        <v>16</v>
      </c>
      <c r="B324" s="19" t="s">
        <v>688</v>
      </c>
      <c r="C324" s="19" t="s">
        <v>689</v>
      </c>
      <c r="D324" s="19" t="s">
        <v>27</v>
      </c>
      <c r="E324" s="19" t="s">
        <v>690</v>
      </c>
      <c r="F324" s="4" t="s">
        <v>679</v>
      </c>
      <c r="G324" s="20" t="s">
        <v>34</v>
      </c>
      <c r="H324" s="21" t="n">
        <v>0.416666666666667</v>
      </c>
      <c r="I324" s="21" t="n">
        <v>0.5</v>
      </c>
      <c r="J324" s="22" t="n">
        <v>31</v>
      </c>
      <c r="K324" s="19" t="s">
        <v>34</v>
      </c>
      <c r="L324" s="23" t="str">
        <f aca="false" t="array" ref="L324:L324">_xlfn.TEXTJOIN(", ",TRUE(),TEXT(H324+_xlfn.SEQUENCE(HOUR(I324-H324),1,0,1)/24,"hh:mm:ss") &amp; "-" &amp; TEXT(H324+_xlfn.SEQUENCE(HOUR(I324-H324),1,1,1)/24,"hh:mm:ss"))</f>
        <v>10:00:00-11:00:00, 11:00:00-12:00:00</v>
      </c>
      <c r="M324" s="1" t="str">
        <f aca="false">IF(F324="","Não alocada","Alocada")</f>
        <v>Alocada</v>
      </c>
      <c r="N324" s="17" t="s">
        <v>23</v>
      </c>
      <c r="O324" s="17" t="s">
        <v>24</v>
      </c>
    </row>
    <row r="325" customFormat="false" ht="15" hidden="false" customHeight="false" outlineLevel="0" collapsed="false">
      <c r="A325" s="18" t="s">
        <v>35</v>
      </c>
      <c r="B325" s="24" t="s">
        <v>691</v>
      </c>
      <c r="C325" s="24" t="s">
        <v>692</v>
      </c>
      <c r="D325" s="19" t="s">
        <v>19</v>
      </c>
      <c r="E325" s="24" t="s">
        <v>693</v>
      </c>
      <c r="F325" s="4" t="s">
        <v>679</v>
      </c>
      <c r="G325" s="20" t="s">
        <v>34</v>
      </c>
      <c r="H325" s="25" t="n">
        <v>0.333333333333333</v>
      </c>
      <c r="I325" s="25" t="n">
        <v>0.416666666666667</v>
      </c>
      <c r="J325" s="22" t="n">
        <v>24</v>
      </c>
      <c r="K325" s="19" t="s">
        <v>34</v>
      </c>
      <c r="L325" s="23" t="str">
        <f aca="false" t="array" ref="L325:L325">_xlfn.TEXTJOIN(", ",TRUE(),TEXT(H325+_xlfn.SEQUENCE(HOUR(I325-H325),1,0,1)/24,"hh:mm:ss") &amp; "-" &amp; TEXT(H325+_xlfn.SEQUENCE(HOUR(I325-H325),1,1,1)/24,"hh:mm:ss"))</f>
        <v>08:00:00-09:00:00, 09:00:00-10:00:00</v>
      </c>
      <c r="M325" s="1" t="str">
        <f aca="false">IF(F325="","Não alocada","Alocada")</f>
        <v>Alocada</v>
      </c>
      <c r="N325" s="17" t="s">
        <v>23</v>
      </c>
      <c r="O325" s="17" t="s">
        <v>24</v>
      </c>
    </row>
    <row r="326" customFormat="false" ht="15" hidden="false" customHeight="false" outlineLevel="0" collapsed="false">
      <c r="A326" s="18" t="s">
        <v>52</v>
      </c>
      <c r="B326" s="26" t="s">
        <v>694</v>
      </c>
      <c r="C326" s="26" t="s">
        <v>695</v>
      </c>
      <c r="D326" s="19" t="s">
        <v>19</v>
      </c>
      <c r="E326" s="26" t="s">
        <v>201</v>
      </c>
      <c r="F326" s="4" t="s">
        <v>679</v>
      </c>
      <c r="G326" s="20" t="s">
        <v>29</v>
      </c>
      <c r="H326" s="27" t="n">
        <v>0.416666666666667</v>
      </c>
      <c r="I326" s="27" t="n">
        <v>0.5</v>
      </c>
      <c r="J326" s="22" t="n">
        <v>15</v>
      </c>
      <c r="K326" s="19" t="s">
        <v>29</v>
      </c>
      <c r="L326" s="23" t="str">
        <f aca="false" t="array" ref="L326:L326">_xlfn.TEXTJOIN(", ",TRUE(),TEXT(H326+_xlfn.SEQUENCE(HOUR(I326-H326),1,0,1)/24,"hh:mm:ss") &amp; "-" &amp; TEXT(H326+_xlfn.SEQUENCE(HOUR(I326-H326),1,1,1)/24,"hh:mm:ss"))</f>
        <v>10:00:00-11:00:00, 11:00:00-12:00:00</v>
      </c>
      <c r="M326" s="1" t="str">
        <f aca="false">IF(F326="","Não alocada","Alocada")</f>
        <v>Alocada</v>
      </c>
      <c r="N326" s="17" t="s">
        <v>23</v>
      </c>
      <c r="O326" s="17" t="s">
        <v>24</v>
      </c>
    </row>
    <row r="327" customFormat="false" ht="15" hidden="false" customHeight="false" outlineLevel="0" collapsed="false">
      <c r="A327" s="28" t="s">
        <v>69</v>
      </c>
      <c r="B327" s="26" t="s">
        <v>696</v>
      </c>
      <c r="C327" s="26" t="s">
        <v>697</v>
      </c>
      <c r="D327" s="19" t="s">
        <v>19</v>
      </c>
      <c r="E327" s="26"/>
      <c r="F327" s="4" t="s">
        <v>679</v>
      </c>
      <c r="G327" s="20" t="s">
        <v>66</v>
      </c>
      <c r="H327" s="27" t="n">
        <v>0.416666666666667</v>
      </c>
      <c r="I327" s="27" t="n">
        <v>0.5</v>
      </c>
      <c r="J327" s="22" t="n">
        <v>25</v>
      </c>
      <c r="K327" s="29"/>
      <c r="L327" s="23" t="str">
        <f aca="false" t="array" ref="L327:L327">_xlfn.TEXTJOIN(", ",TRUE(),TEXT(H327+_xlfn.SEQUENCE(HOUR(I327-H327),1,0,1)/24,"hh:mm:ss") &amp; "-" &amp; TEXT(H327+_xlfn.SEQUENCE(HOUR(I327-H327),1,1,1)/24,"hh:mm:ss"))</f>
        <v>10:00:00-11:00:00, 11:00:00-12:00:00</v>
      </c>
      <c r="M327" s="1" t="str">
        <f aca="false">IF(F327="","Não alocada","Alocada")</f>
        <v>Alocada</v>
      </c>
      <c r="N327" s="17" t="s">
        <v>23</v>
      </c>
      <c r="O327" s="17" t="s">
        <v>24</v>
      </c>
    </row>
    <row r="328" customFormat="false" ht="15" hidden="false" customHeight="false" outlineLevel="0" collapsed="false">
      <c r="A328" s="18" t="s">
        <v>82</v>
      </c>
      <c r="B328" s="30" t="s">
        <v>696</v>
      </c>
      <c r="C328" s="26" t="s">
        <v>697</v>
      </c>
      <c r="D328" s="19" t="s">
        <v>19</v>
      </c>
      <c r="E328" s="26" t="s">
        <v>79</v>
      </c>
      <c r="F328" s="4" t="s">
        <v>679</v>
      </c>
      <c r="G328" s="20" t="s">
        <v>66</v>
      </c>
      <c r="H328" s="27" t="n">
        <v>0.416666666666667</v>
      </c>
      <c r="I328" s="27" t="n">
        <v>0.5</v>
      </c>
      <c r="J328" s="22" t="n">
        <v>25</v>
      </c>
      <c r="K328" s="29"/>
      <c r="L328" s="23" t="str">
        <f aca="false" t="array" ref="L328:L328">_xlfn.TEXTJOIN(", ",TRUE(),TEXT(H328+_xlfn.SEQUENCE(HOUR(I328-H328),1,0,1)/24,"hh:mm:ss") &amp; "-" &amp; TEXT(H328+_xlfn.SEQUENCE(HOUR(I328-H328),1,1,1)/24,"hh:mm:ss"))</f>
        <v>10:00:00-11:00:00, 11:00:00-12:00:00</v>
      </c>
      <c r="M328" s="1" t="str">
        <f aca="false">IF(F328="","Não alocada","Alocada")</f>
        <v>Alocada</v>
      </c>
      <c r="N328" s="17" t="s">
        <v>23</v>
      </c>
      <c r="O328" s="17" t="s">
        <v>24</v>
      </c>
    </row>
    <row r="329" customFormat="false" ht="15" hidden="false" customHeight="false" outlineLevel="0" collapsed="false">
      <c r="A329" s="18" t="s">
        <v>16</v>
      </c>
      <c r="B329" s="19" t="s">
        <v>698</v>
      </c>
      <c r="C329" s="19" t="s">
        <v>699</v>
      </c>
      <c r="D329" s="19" t="s">
        <v>19</v>
      </c>
      <c r="E329" s="19" t="s">
        <v>700</v>
      </c>
      <c r="F329" s="4" t="s">
        <v>701</v>
      </c>
      <c r="G329" s="40" t="s">
        <v>257</v>
      </c>
      <c r="H329" s="21" t="n">
        <v>0.541666666666667</v>
      </c>
      <c r="I329" s="21" t="n">
        <v>0.666666666666667</v>
      </c>
      <c r="J329" s="22" t="n">
        <v>20</v>
      </c>
      <c r="K329" s="19" t="s">
        <v>257</v>
      </c>
      <c r="L329" s="23" t="str">
        <f aca="false" t="array" ref="L329:L329">_xlfn.TEXTJOIN(", ",TRUE(),TEXT(H329+_xlfn.SEQUENCE(HOUR(I329-H329),1,0,1)/24,"hh:mm:ss") &amp; "-" &amp; TEXT(H329+_xlfn.SEQUENCE(HOUR(I329-H329),1,1,1)/24,"hh:mm:ss"))</f>
        <v>13:00:00-14:00:00, 14:00:00-15:00:00, 15:00:00-16:00:00</v>
      </c>
      <c r="M329" s="1" t="str">
        <f aca="false">IF(F329="","Não alocada","Alocada")</f>
        <v>Alocada</v>
      </c>
      <c r="N329" s="17" t="s">
        <v>23</v>
      </c>
      <c r="O329" s="17" t="s">
        <v>24</v>
      </c>
    </row>
    <row r="330" customFormat="false" ht="15" hidden="false" customHeight="false" outlineLevel="0" collapsed="false">
      <c r="A330" s="18" t="s">
        <v>16</v>
      </c>
      <c r="B330" s="19" t="s">
        <v>702</v>
      </c>
      <c r="C330" s="19" t="s">
        <v>703</v>
      </c>
      <c r="D330" s="19" t="s">
        <v>60</v>
      </c>
      <c r="E330" s="19" t="s">
        <v>704</v>
      </c>
      <c r="F330" s="4" t="s">
        <v>701</v>
      </c>
      <c r="G330" s="40" t="s">
        <v>515</v>
      </c>
      <c r="H330" s="21" t="n">
        <v>0.416666666666667</v>
      </c>
      <c r="I330" s="21" t="n">
        <v>0.5</v>
      </c>
      <c r="J330" s="22" t="n">
        <v>2</v>
      </c>
      <c r="K330" s="19" t="s">
        <v>515</v>
      </c>
      <c r="L330" s="23" t="str">
        <f aca="false" t="array" ref="L330:L330">_xlfn.TEXTJOIN(", ",TRUE(),TEXT(H330+_xlfn.SEQUENCE(HOUR(I330-H330),1,0,1)/24,"hh:mm:ss") &amp; "-" &amp; TEXT(H330+_xlfn.SEQUENCE(HOUR(I330-H330),1,1,1)/24,"hh:mm:ss"))</f>
        <v>10:00:00-11:00:00, 11:00:00-12:00:00</v>
      </c>
      <c r="M330" s="1" t="str">
        <f aca="false">IF(F330="","Não alocada","Alocada")</f>
        <v>Alocada</v>
      </c>
      <c r="N330" s="17" t="s">
        <v>23</v>
      </c>
      <c r="O330" s="17" t="s">
        <v>24</v>
      </c>
    </row>
    <row r="331" customFormat="false" ht="15" hidden="false" customHeight="false" outlineLevel="0" collapsed="false">
      <c r="A331" s="18" t="s">
        <v>16</v>
      </c>
      <c r="B331" s="19" t="s">
        <v>702</v>
      </c>
      <c r="C331" s="19" t="s">
        <v>703</v>
      </c>
      <c r="D331" s="19" t="s">
        <v>27</v>
      </c>
      <c r="E331" s="19" t="s">
        <v>705</v>
      </c>
      <c r="F331" s="4" t="s">
        <v>701</v>
      </c>
      <c r="G331" s="20" t="s">
        <v>34</v>
      </c>
      <c r="H331" s="21" t="n">
        <v>0.416666666666667</v>
      </c>
      <c r="I331" s="21" t="n">
        <v>0.5</v>
      </c>
      <c r="J331" s="22" t="n">
        <v>2</v>
      </c>
      <c r="K331" s="19" t="s">
        <v>34</v>
      </c>
      <c r="L331" s="23" t="str">
        <f aca="false" t="array" ref="L331:L331">_xlfn.TEXTJOIN(", ",TRUE(),TEXT(H331+_xlfn.SEQUENCE(HOUR(I331-H331),1,0,1)/24,"hh:mm:ss") &amp; "-" &amp; TEXT(H331+_xlfn.SEQUENCE(HOUR(I331-H331),1,1,1)/24,"hh:mm:ss"))</f>
        <v>10:00:00-11:00:00, 11:00:00-12:00:00</v>
      </c>
      <c r="M331" s="1" t="str">
        <f aca="false">IF(F331="","Não alocada","Alocada")</f>
        <v>Alocada</v>
      </c>
      <c r="N331" s="17" t="s">
        <v>23</v>
      </c>
      <c r="O331" s="17" t="s">
        <v>24</v>
      </c>
    </row>
    <row r="332" customFormat="false" ht="15" hidden="false" customHeight="false" outlineLevel="0" collapsed="false">
      <c r="A332" s="28" t="s">
        <v>69</v>
      </c>
      <c r="B332" s="26" t="s">
        <v>706</v>
      </c>
      <c r="C332" s="26" t="s">
        <v>707</v>
      </c>
      <c r="D332" s="19" t="s">
        <v>27</v>
      </c>
      <c r="E332" s="26" t="s">
        <v>708</v>
      </c>
      <c r="F332" s="4" t="s">
        <v>701</v>
      </c>
      <c r="G332" s="20" t="s">
        <v>117</v>
      </c>
      <c r="H332" s="27" t="n">
        <v>0.416666666666667</v>
      </c>
      <c r="I332" s="27" t="n">
        <v>0.5</v>
      </c>
      <c r="J332" s="22" t="n">
        <v>7</v>
      </c>
      <c r="K332" s="29"/>
      <c r="L332" s="23" t="str">
        <f aca="false" t="array" ref="L332:L332">_xlfn.TEXTJOIN(", ",TRUE(),TEXT(H332+_xlfn.SEQUENCE(HOUR(I332-H332),1,0,1)/24,"hh:mm:ss") &amp; "-" &amp; TEXT(H332+_xlfn.SEQUENCE(HOUR(I332-H332),1,1,1)/24,"hh:mm:ss"))</f>
        <v>10:00:00-11:00:00, 11:00:00-12:00:00</v>
      </c>
      <c r="M332" s="1" t="str">
        <f aca="false">IF(F332="","Não alocada","Alocada")</f>
        <v>Alocada</v>
      </c>
      <c r="N332" s="17" t="s">
        <v>23</v>
      </c>
      <c r="O332" s="17" t="s">
        <v>24</v>
      </c>
    </row>
    <row r="333" customFormat="false" ht="24.85" hidden="false" customHeight="false" outlineLevel="0" collapsed="false">
      <c r="A333" s="18" t="s">
        <v>75</v>
      </c>
      <c r="B333" s="26" t="s">
        <v>709</v>
      </c>
      <c r="C333" s="26" t="s">
        <v>710</v>
      </c>
      <c r="D333" s="19" t="s">
        <v>76</v>
      </c>
      <c r="E333" s="26" t="s">
        <v>139</v>
      </c>
      <c r="F333" s="4" t="s">
        <v>711</v>
      </c>
      <c r="G333" s="20" t="s">
        <v>34</v>
      </c>
      <c r="H333" s="27" t="n">
        <v>0.583333333333333</v>
      </c>
      <c r="I333" s="27" t="n">
        <v>0.666666666666667</v>
      </c>
      <c r="J333" s="22" t="n">
        <v>25</v>
      </c>
      <c r="K333" s="29"/>
      <c r="L333" s="23" t="str">
        <f aca="false" t="array" ref="L333:L333">_xlfn.TEXTJOIN(", ",TRUE(),TEXT(H333+_xlfn.SEQUENCE(HOUR(I333-H333),1,0,1)/24,"hh:mm:ss") &amp; "-" &amp; TEXT(H333+_xlfn.SEQUENCE(HOUR(I333-H333),1,1,1)/24,"hh:mm:ss"))</f>
        <v>14:00:00-15:00:00, 15:00:00-16:00:00</v>
      </c>
      <c r="M333" s="1" t="str">
        <f aca="false">IF(F333="","Não alocada","Alocada")</f>
        <v>Alocada</v>
      </c>
      <c r="N333" s="17" t="s">
        <v>23</v>
      </c>
      <c r="O333" s="17" t="s">
        <v>24</v>
      </c>
    </row>
    <row r="334" customFormat="false" ht="15" hidden="false" customHeight="false" outlineLevel="0" collapsed="false">
      <c r="A334" s="18" t="s">
        <v>83</v>
      </c>
      <c r="B334" s="26" t="s">
        <v>712</v>
      </c>
      <c r="C334" s="26" t="s">
        <v>713</v>
      </c>
      <c r="D334" s="19" t="s">
        <v>76</v>
      </c>
      <c r="E334" s="26" t="s">
        <v>714</v>
      </c>
      <c r="F334" s="4" t="s">
        <v>715</v>
      </c>
      <c r="G334" s="20" t="s">
        <v>716</v>
      </c>
      <c r="H334" s="27" t="n">
        <v>0.416666666666667</v>
      </c>
      <c r="I334" s="27" t="n">
        <v>0.5</v>
      </c>
      <c r="J334" s="22" t="n">
        <v>9</v>
      </c>
      <c r="K334" s="29"/>
      <c r="L334" s="23" t="str">
        <f aca="false" t="array" ref="L334:L334">_xlfn.TEXTJOIN(", ",TRUE(),TEXT(H334+_xlfn.SEQUENCE(HOUR(I334-H334),1,0,1)/24,"hh:mm:ss") &amp; "-" &amp; TEXT(H334+_xlfn.SEQUENCE(HOUR(I334-H334),1,1,1)/24,"hh:mm:ss"))</f>
        <v>10:00:00-11:00:00, 11:00:00-12:00:00</v>
      </c>
      <c r="M334" s="1" t="str">
        <f aca="false">IF(F334="","Não alocada","Alocada")</f>
        <v>Alocada</v>
      </c>
      <c r="N334" s="17" t="s">
        <v>23</v>
      </c>
      <c r="O334" s="17" t="s">
        <v>24</v>
      </c>
    </row>
    <row r="335" customFormat="false" ht="15" hidden="false" customHeight="false" outlineLevel="0" collapsed="false">
      <c r="A335" s="18" t="s">
        <v>16</v>
      </c>
      <c r="B335" s="19" t="s">
        <v>717</v>
      </c>
      <c r="C335" s="19" t="s">
        <v>718</v>
      </c>
      <c r="D335" s="19" t="s">
        <v>27</v>
      </c>
      <c r="E335" s="19" t="s">
        <v>719</v>
      </c>
      <c r="G335" s="40" t="s">
        <v>56</v>
      </c>
      <c r="H335" s="21" t="n">
        <v>0.333333333333333</v>
      </c>
      <c r="I335" s="21" t="n">
        <v>0.5</v>
      </c>
      <c r="J335" s="22" t="n">
        <v>12</v>
      </c>
      <c r="K335" s="19" t="s">
        <v>56</v>
      </c>
      <c r="L335" s="23" t="str">
        <f aca="false" t="array" ref="L335:L335">_xlfn.TEXTJOIN(", ",TRUE(),TEXT(H335+_xlfn.SEQUENCE(HOUR(I335-H335),1,0,1)/24,"hh:mm:ss") &amp; "-" &amp; TEXT(H335+_xlfn.SEQUENCE(HOUR(I335-H335),1,1,1)/24,"hh:mm:ss"))</f>
        <v>08:00:00-09:00:00, 09:00:00-10:00:00, 10:00:00-11:00:00, 11:00:00-12:00:00</v>
      </c>
      <c r="M335" s="1" t="str">
        <f aca="false">IF(F335="","Não alocada","Alocada")</f>
        <v>Não alocada</v>
      </c>
      <c r="N335" s="17" t="s">
        <v>23</v>
      </c>
      <c r="O335" s="17" t="s">
        <v>24</v>
      </c>
    </row>
    <row r="336" customFormat="false" ht="15" hidden="false" customHeight="false" outlineLevel="0" collapsed="false">
      <c r="A336" s="18" t="s">
        <v>16</v>
      </c>
      <c r="B336" s="19" t="s">
        <v>717</v>
      </c>
      <c r="C336" s="19" t="s">
        <v>718</v>
      </c>
      <c r="D336" s="19" t="s">
        <v>41</v>
      </c>
      <c r="E336" s="19" t="s">
        <v>719</v>
      </c>
      <c r="G336" s="34" t="s">
        <v>720</v>
      </c>
      <c r="H336" s="21" t="n">
        <v>0.333333333333333</v>
      </c>
      <c r="I336" s="21" t="n">
        <v>0.5</v>
      </c>
      <c r="J336" s="22" t="n">
        <v>12</v>
      </c>
      <c r="K336" s="19" t="s">
        <v>720</v>
      </c>
      <c r="L336" s="23" t="str">
        <f aca="false" t="array" ref="L336:L336">_xlfn.TEXTJOIN(", ",TRUE(),TEXT(H336+_xlfn.SEQUENCE(HOUR(I336-H336),1,0,1)/24,"hh:mm:ss") &amp; "-" &amp; TEXT(H336+_xlfn.SEQUENCE(HOUR(I336-H336),1,1,1)/24,"hh:mm:ss"))</f>
        <v>08:00:00-09:00:00, 09:00:00-10:00:00, 10:00:00-11:00:00, 11:00:00-12:00:00</v>
      </c>
      <c r="M336" s="1" t="str">
        <f aca="false">IF(F336="","Não alocada","Alocada")</f>
        <v>Não alocada</v>
      </c>
      <c r="N336" s="17" t="s">
        <v>23</v>
      </c>
      <c r="O336" s="17" t="s">
        <v>24</v>
      </c>
    </row>
    <row r="337" customFormat="false" ht="15" hidden="false" customHeight="false" outlineLevel="0" collapsed="false">
      <c r="A337" s="18" t="s">
        <v>16</v>
      </c>
      <c r="B337" s="19" t="s">
        <v>717</v>
      </c>
      <c r="C337" s="19" t="s">
        <v>718</v>
      </c>
      <c r="D337" s="19" t="s">
        <v>721</v>
      </c>
      <c r="E337" s="19" t="s">
        <v>722</v>
      </c>
      <c r="G337" s="20" t="s">
        <v>43</v>
      </c>
      <c r="H337" s="21" t="n">
        <v>0.333333333333333</v>
      </c>
      <c r="I337" s="21" t="n">
        <v>0.5</v>
      </c>
      <c r="J337" s="22" t="n">
        <v>12</v>
      </c>
      <c r="K337" s="19" t="s">
        <v>43</v>
      </c>
      <c r="L337" s="23" t="str">
        <f aca="false" t="array" ref="L337:L337">_xlfn.TEXTJOIN(", ",TRUE(),TEXT(H337+_xlfn.SEQUENCE(HOUR(I337-H337),1,0,1)/24,"hh:mm:ss") &amp; "-" &amp; TEXT(H337+_xlfn.SEQUENCE(HOUR(I337-H337),1,1,1)/24,"hh:mm:ss"))</f>
        <v>08:00:00-09:00:00, 09:00:00-10:00:00, 10:00:00-11:00:00, 11:00:00-12:00:00</v>
      </c>
      <c r="M337" s="1" t="str">
        <f aca="false">IF(F337="","Não alocada","Alocada")</f>
        <v>Não alocada</v>
      </c>
      <c r="N337" s="17" t="s">
        <v>23</v>
      </c>
      <c r="O337" s="17" t="s">
        <v>24</v>
      </c>
    </row>
    <row r="338" customFormat="false" ht="15" hidden="false" customHeight="false" outlineLevel="0" collapsed="false">
      <c r="A338" s="18" t="s">
        <v>16</v>
      </c>
      <c r="B338" s="19" t="s">
        <v>723</v>
      </c>
      <c r="C338" s="19" t="s">
        <v>724</v>
      </c>
      <c r="D338" s="19" t="s">
        <v>19</v>
      </c>
      <c r="E338" s="19" t="s">
        <v>725</v>
      </c>
      <c r="G338" s="20" t="s">
        <v>34</v>
      </c>
      <c r="H338" s="21" t="n">
        <v>0.416666666666667</v>
      </c>
      <c r="I338" s="21" t="n">
        <v>0.5</v>
      </c>
      <c r="J338" s="22" t="n">
        <v>22</v>
      </c>
      <c r="K338" s="19" t="s">
        <v>34</v>
      </c>
      <c r="L338" s="23" t="str">
        <f aca="false" t="array" ref="L338:L338">_xlfn.TEXTJOIN(", ",TRUE(),TEXT(H338+_xlfn.SEQUENCE(HOUR(I338-H338),1,0,1)/24,"hh:mm:ss") &amp; "-" &amp; TEXT(H338+_xlfn.SEQUENCE(HOUR(I338-H338),1,1,1)/24,"hh:mm:ss"))</f>
        <v>10:00:00-11:00:00, 11:00:00-12:00:00</v>
      </c>
      <c r="M338" s="1" t="str">
        <f aca="false">IF(F338="","Não alocada","Alocada")</f>
        <v>Não alocada</v>
      </c>
      <c r="N338" s="17" t="s">
        <v>23</v>
      </c>
      <c r="O338" s="17" t="s">
        <v>24</v>
      </c>
    </row>
    <row r="339" customFormat="false" ht="15" hidden="false" customHeight="false" outlineLevel="0" collapsed="false">
      <c r="A339" s="18" t="s">
        <v>221</v>
      </c>
      <c r="B339" s="26" t="s">
        <v>726</v>
      </c>
      <c r="C339" s="26" t="s">
        <v>727</v>
      </c>
      <c r="D339" s="19" t="s">
        <v>27</v>
      </c>
      <c r="E339" s="26" t="s">
        <v>301</v>
      </c>
      <c r="G339" s="20" t="s">
        <v>34</v>
      </c>
      <c r="H339" s="27" t="n">
        <v>0.416666666666667</v>
      </c>
      <c r="I339" s="27" t="n">
        <v>0.5</v>
      </c>
      <c r="J339" s="22" t="n">
        <v>15</v>
      </c>
      <c r="K339" s="19" t="s">
        <v>34</v>
      </c>
      <c r="L339" s="23" t="str">
        <f aca="false" t="array" ref="L339:L339">_xlfn.TEXTJOIN(", ",TRUE(),TEXT(H339+_xlfn.SEQUENCE(HOUR(I339-H339),1,0,1)/24,"hh:mm:ss") &amp; "-" &amp; TEXT(H339+_xlfn.SEQUENCE(HOUR(I339-H339),1,1,1)/24,"hh:mm:ss"))</f>
        <v>10:00:00-11:00:00, 11:00:00-12:00:00</v>
      </c>
      <c r="M339" s="1" t="str">
        <f aca="false">IF(F339="","Não alocada","Alocada")</f>
        <v>Não alocada</v>
      </c>
      <c r="N339" s="17" t="s">
        <v>23</v>
      </c>
      <c r="O339" s="17" t="s">
        <v>24</v>
      </c>
    </row>
    <row r="340" customFormat="false" ht="15" hidden="false" customHeight="false" outlineLevel="0" collapsed="false">
      <c r="A340" s="18" t="s">
        <v>221</v>
      </c>
      <c r="B340" s="26" t="s">
        <v>726</v>
      </c>
      <c r="C340" s="26" t="s">
        <v>727</v>
      </c>
      <c r="D340" s="19" t="s">
        <v>728</v>
      </c>
      <c r="E340" s="26" t="s">
        <v>301</v>
      </c>
      <c r="G340" s="20" t="s">
        <v>34</v>
      </c>
      <c r="H340" s="27" t="n">
        <v>0.416666666666667</v>
      </c>
      <c r="I340" s="27" t="n">
        <v>0.5</v>
      </c>
      <c r="J340" s="22" t="n">
        <v>15</v>
      </c>
      <c r="K340" s="19" t="s">
        <v>34</v>
      </c>
      <c r="L340" s="23" t="str">
        <f aca="false" t="array" ref="L340:L340">_xlfn.TEXTJOIN(", ",TRUE(),TEXT(H340+_xlfn.SEQUENCE(HOUR(I340-H340),1,0,1)/24,"hh:mm:ss") &amp; "-" &amp; TEXT(H340+_xlfn.SEQUENCE(HOUR(I340-H340),1,1,1)/24,"hh:mm:ss"))</f>
        <v>10:00:00-11:00:00, 11:00:00-12:00:00</v>
      </c>
      <c r="M340" s="1" t="str">
        <f aca="false">IF(F340="","Não alocada","Alocada")</f>
        <v>Não alocada</v>
      </c>
      <c r="N340" s="17" t="s">
        <v>23</v>
      </c>
      <c r="O340" s="17" t="s">
        <v>24</v>
      </c>
    </row>
    <row r="341" customFormat="false" ht="15" hidden="false" customHeight="false" outlineLevel="0" collapsed="false">
      <c r="A341" s="18" t="s">
        <v>221</v>
      </c>
      <c r="B341" s="26" t="s">
        <v>726</v>
      </c>
      <c r="C341" s="26" t="s">
        <v>727</v>
      </c>
      <c r="D341" s="19" t="s">
        <v>60</v>
      </c>
      <c r="E341" s="26" t="s">
        <v>729</v>
      </c>
      <c r="G341" s="20" t="s">
        <v>34</v>
      </c>
      <c r="H341" s="27" t="n">
        <v>0.583333333333333</v>
      </c>
      <c r="I341" s="27" t="n">
        <v>0.666666666666667</v>
      </c>
      <c r="J341" s="22" t="n">
        <v>15</v>
      </c>
      <c r="K341" s="19" t="s">
        <v>34</v>
      </c>
      <c r="L341" s="23" t="str">
        <f aca="false" t="array" ref="L341:L341">_xlfn.TEXTJOIN(", ",TRUE(),TEXT(H341+_xlfn.SEQUENCE(HOUR(I341-H341),1,0,1)/24,"hh:mm:ss") &amp; "-" &amp; TEXT(H341+_xlfn.SEQUENCE(HOUR(I341-H341),1,1,1)/24,"hh:mm:ss"))</f>
        <v>14:00:00-15:00:00, 15:00:00-16:00:00</v>
      </c>
      <c r="M341" s="1" t="str">
        <f aca="false">IF(F341="","Não alocada","Alocada")</f>
        <v>Não alocada</v>
      </c>
      <c r="N341" s="17" t="s">
        <v>23</v>
      </c>
      <c r="O341" s="17" t="s">
        <v>24</v>
      </c>
    </row>
    <row r="342" customFormat="false" ht="15" hidden="false" customHeight="false" outlineLevel="0" collapsed="false">
      <c r="A342" s="18" t="s">
        <v>221</v>
      </c>
      <c r="B342" s="26" t="s">
        <v>726</v>
      </c>
      <c r="C342" s="26" t="s">
        <v>727</v>
      </c>
      <c r="D342" s="19" t="s">
        <v>730</v>
      </c>
      <c r="E342" s="26" t="s">
        <v>301</v>
      </c>
      <c r="G342" s="20" t="s">
        <v>34</v>
      </c>
      <c r="H342" s="27" t="n">
        <v>0.583333333333333</v>
      </c>
      <c r="I342" s="27" t="n">
        <v>0.666666666666667</v>
      </c>
      <c r="J342" s="22" t="n">
        <v>15</v>
      </c>
      <c r="K342" s="19" t="s">
        <v>34</v>
      </c>
      <c r="L342" s="23" t="str">
        <f aca="false" t="array" ref="L342:L342">_xlfn.TEXTJOIN(", ",TRUE(),TEXT(H342+_xlfn.SEQUENCE(HOUR(I342-H342),1,0,1)/24,"hh:mm:ss") &amp; "-" &amp; TEXT(H342+_xlfn.SEQUENCE(HOUR(I342-H342),1,1,1)/24,"hh:mm:ss"))</f>
        <v>14:00:00-15:00:00, 15:00:00-16:00:00</v>
      </c>
      <c r="M342" s="1" t="str">
        <f aca="false">IF(F342="","Não alocada","Alocada")</f>
        <v>Não alocada</v>
      </c>
      <c r="N342" s="17" t="s">
        <v>23</v>
      </c>
      <c r="O342" s="17" t="s">
        <v>24</v>
      </c>
    </row>
    <row r="343" customFormat="false" ht="15" hidden="false" customHeight="false" outlineLevel="0" collapsed="false">
      <c r="A343" s="28" t="s">
        <v>69</v>
      </c>
      <c r="B343" s="26" t="s">
        <v>731</v>
      </c>
      <c r="C343" s="26" t="s">
        <v>732</v>
      </c>
      <c r="D343" s="19" t="s">
        <v>73</v>
      </c>
      <c r="E343" s="26" t="s">
        <v>733</v>
      </c>
      <c r="G343" s="20" t="s">
        <v>56</v>
      </c>
      <c r="H343" s="27" t="n">
        <v>0.416666666666667</v>
      </c>
      <c r="I343" s="27" t="n">
        <v>0.5</v>
      </c>
      <c r="J343" s="22" t="n">
        <v>17</v>
      </c>
      <c r="K343" s="29" t="s">
        <v>734</v>
      </c>
      <c r="L343" s="23" t="str">
        <f aca="false" t="array" ref="L343:L343">_xlfn.TEXTJOIN(", ",TRUE(),TEXT(H343+_xlfn.SEQUENCE(HOUR(I343-H343),1,0,1)/24,"hh:mm:ss") &amp; "-" &amp; TEXT(H343+_xlfn.SEQUENCE(HOUR(I343-H343),1,1,1)/24,"hh:mm:ss"))</f>
        <v>10:00:00-11:00:00, 11:00:00-12:00:00</v>
      </c>
      <c r="M343" s="1" t="str">
        <f aca="false">IF(F343="","Não alocada","Alocada")</f>
        <v>Não alocada</v>
      </c>
      <c r="N343" s="17" t="s">
        <v>23</v>
      </c>
      <c r="O343" s="17" t="s">
        <v>24</v>
      </c>
    </row>
    <row r="344" customFormat="false" ht="15" hidden="false" customHeight="false" outlineLevel="0" collapsed="false">
      <c r="A344" s="28" t="s">
        <v>69</v>
      </c>
      <c r="B344" s="26" t="s">
        <v>731</v>
      </c>
      <c r="C344" s="26" t="s">
        <v>732</v>
      </c>
      <c r="D344" s="19" t="s">
        <v>19</v>
      </c>
      <c r="E344" s="26" t="s">
        <v>733</v>
      </c>
      <c r="G344" s="20" t="s">
        <v>22</v>
      </c>
      <c r="H344" s="27" t="n">
        <v>0.416666666666667</v>
      </c>
      <c r="I344" s="27" t="n">
        <v>0.5</v>
      </c>
      <c r="J344" s="22" t="n">
        <v>17</v>
      </c>
      <c r="K344" s="29" t="s">
        <v>734</v>
      </c>
      <c r="L344" s="23" t="str">
        <f aca="false" t="array" ref="L344:L344">_xlfn.TEXTJOIN(", ",TRUE(),TEXT(H344+_xlfn.SEQUENCE(HOUR(I344-H344),1,0,1)/24,"hh:mm:ss") &amp; "-" &amp; TEXT(H344+_xlfn.SEQUENCE(HOUR(I344-H344),1,1,1)/24,"hh:mm:ss"))</f>
        <v>10:00:00-11:00:00, 11:00:00-12:00:00</v>
      </c>
      <c r="M344" s="1" t="str">
        <f aca="false">IF(F344="","Não alocada","Alocada")</f>
        <v>Não alocada</v>
      </c>
      <c r="N344" s="17" t="s">
        <v>23</v>
      </c>
      <c r="O344" s="17" t="s">
        <v>24</v>
      </c>
    </row>
    <row r="345" customFormat="false" ht="15" hidden="false" customHeight="false" outlineLevel="0" collapsed="false">
      <c r="A345" s="28" t="s">
        <v>69</v>
      </c>
      <c r="B345" s="26" t="s">
        <v>735</v>
      </c>
      <c r="C345" s="26" t="s">
        <v>736</v>
      </c>
      <c r="D345" s="19" t="s">
        <v>19</v>
      </c>
      <c r="E345" s="26" t="s">
        <v>708</v>
      </c>
      <c r="G345" s="20" t="s">
        <v>213</v>
      </c>
      <c r="H345" s="27" t="n">
        <v>0.333333333333333</v>
      </c>
      <c r="I345" s="27" t="n">
        <v>0.416666666666667</v>
      </c>
      <c r="J345" s="22" t="n">
        <v>13</v>
      </c>
      <c r="K345" s="29"/>
      <c r="L345" s="23" t="str">
        <f aca="false" t="array" ref="L345:L345">_xlfn.TEXTJOIN(", ",TRUE(),TEXT(H345+_xlfn.SEQUENCE(HOUR(I345-H345),1,0,1)/24,"hh:mm:ss") &amp; "-" &amp; TEXT(H345+_xlfn.SEQUENCE(HOUR(I345-H345),1,1,1)/24,"hh:mm:ss"))</f>
        <v>08:00:00-09:00:00, 09:00:00-10:00:00</v>
      </c>
      <c r="M345" s="1" t="str">
        <f aca="false">IF(F345="","Não alocada","Alocada")</f>
        <v>Não alocada</v>
      </c>
      <c r="N345" s="17" t="s">
        <v>23</v>
      </c>
      <c r="O345" s="17" t="s">
        <v>24</v>
      </c>
    </row>
    <row r="346" customFormat="false" ht="15" hidden="false" customHeight="false" outlineLevel="0" collapsed="false">
      <c r="A346" s="28" t="s">
        <v>69</v>
      </c>
      <c r="B346" s="26" t="s">
        <v>737</v>
      </c>
      <c r="C346" s="26" t="s">
        <v>738</v>
      </c>
      <c r="D346" s="19" t="s">
        <v>19</v>
      </c>
      <c r="E346" s="26" t="s">
        <v>739</v>
      </c>
      <c r="G346" s="20" t="s">
        <v>34</v>
      </c>
      <c r="H346" s="27" t="n">
        <v>0.583333333333333</v>
      </c>
      <c r="I346" s="27" t="n">
        <v>0.666666666666667</v>
      </c>
      <c r="J346" s="22" t="n">
        <v>12</v>
      </c>
      <c r="K346" s="29"/>
      <c r="L346" s="23" t="str">
        <f aca="false" t="array" ref="L346:L346">_xlfn.TEXTJOIN(", ",TRUE(),TEXT(H346+_xlfn.SEQUENCE(HOUR(I346-H346),1,0,1)/24,"hh:mm:ss") &amp; "-" &amp; TEXT(H346+_xlfn.SEQUENCE(HOUR(I346-H346),1,1,1)/24,"hh:mm:ss"))</f>
        <v>14:00:00-15:00:00, 15:00:00-16:00:00</v>
      </c>
      <c r="M346" s="1" t="str">
        <f aca="false">IF(F346="","Não alocada","Alocada")</f>
        <v>Não alocada</v>
      </c>
      <c r="N346" s="17" t="s">
        <v>23</v>
      </c>
      <c r="O346" s="17" t="s">
        <v>24</v>
      </c>
    </row>
    <row r="347" customFormat="false" ht="15" hidden="false" customHeight="false" outlineLevel="0" collapsed="false">
      <c r="A347" s="28" t="s">
        <v>69</v>
      </c>
      <c r="B347" s="26" t="s">
        <v>740</v>
      </c>
      <c r="C347" s="26" t="s">
        <v>741</v>
      </c>
      <c r="D347" s="19" t="s">
        <v>27</v>
      </c>
      <c r="E347" s="26" t="s">
        <v>742</v>
      </c>
      <c r="G347" s="20" t="s">
        <v>34</v>
      </c>
      <c r="H347" s="27" t="n">
        <v>0.416666666666667</v>
      </c>
      <c r="I347" s="27" t="n">
        <v>0.5</v>
      </c>
      <c r="J347" s="22" t="n">
        <v>21</v>
      </c>
      <c r="K347" s="29"/>
      <c r="L347" s="23" t="str">
        <f aca="false" t="array" ref="L347:L347">_xlfn.TEXTJOIN(", ",TRUE(),TEXT(H347+_xlfn.SEQUENCE(HOUR(I347-H347),1,0,1)/24,"hh:mm:ss") &amp; "-" &amp; TEXT(H347+_xlfn.SEQUENCE(HOUR(I347-H347),1,1,1)/24,"hh:mm:ss"))</f>
        <v>10:00:00-11:00:00, 11:00:00-12:00:00</v>
      </c>
      <c r="M347" s="1" t="str">
        <f aca="false">IF(F347="","Não alocada","Alocada")</f>
        <v>Não alocada</v>
      </c>
      <c r="N347" s="17" t="s">
        <v>23</v>
      </c>
      <c r="O347" s="17" t="s">
        <v>24</v>
      </c>
    </row>
    <row r="348" customFormat="false" ht="15" hidden="false" customHeight="false" outlineLevel="0" collapsed="false">
      <c r="A348" s="28" t="s">
        <v>69</v>
      </c>
      <c r="B348" s="26" t="s">
        <v>743</v>
      </c>
      <c r="C348" s="26" t="s">
        <v>744</v>
      </c>
      <c r="D348" s="19" t="s">
        <v>19</v>
      </c>
      <c r="E348" s="26" t="s">
        <v>742</v>
      </c>
      <c r="G348" s="20" t="s">
        <v>34</v>
      </c>
      <c r="H348" s="27" t="n">
        <v>0.333333333333333</v>
      </c>
      <c r="I348" s="27" t="n">
        <v>0.416666666666667</v>
      </c>
      <c r="J348" s="22" t="n">
        <v>19</v>
      </c>
      <c r="K348" s="29"/>
      <c r="L348" s="23" t="str">
        <f aca="false" t="array" ref="L348:L348">_xlfn.TEXTJOIN(", ",TRUE(),TEXT(H348+_xlfn.SEQUENCE(HOUR(I348-H348),1,0,1)/24,"hh:mm:ss") &amp; "-" &amp; TEXT(H348+_xlfn.SEQUENCE(HOUR(I348-H348),1,1,1)/24,"hh:mm:ss"))</f>
        <v>08:00:00-09:00:00, 09:00:00-10:00:00</v>
      </c>
      <c r="M348" s="1" t="str">
        <f aca="false">IF(F348="","Não alocada","Alocada")</f>
        <v>Não alocada</v>
      </c>
      <c r="N348" s="17" t="s">
        <v>23</v>
      </c>
      <c r="O348" s="17" t="s">
        <v>24</v>
      </c>
    </row>
    <row r="349" customFormat="false" ht="15" hidden="false" customHeight="false" outlineLevel="0" collapsed="false">
      <c r="A349" s="28" t="s">
        <v>69</v>
      </c>
      <c r="B349" s="26" t="s">
        <v>745</v>
      </c>
      <c r="C349" s="26" t="s">
        <v>746</v>
      </c>
      <c r="D349" s="19" t="s">
        <v>27</v>
      </c>
      <c r="E349" s="26"/>
      <c r="G349" s="20" t="s">
        <v>34</v>
      </c>
      <c r="H349" s="27" t="n">
        <v>0.583333333333333</v>
      </c>
      <c r="I349" s="27" t="n">
        <v>0.666666666666667</v>
      </c>
      <c r="J349" s="22" t="n">
        <v>18</v>
      </c>
      <c r="K349" s="29"/>
      <c r="L349" s="23" t="str">
        <f aca="false" t="array" ref="L349:L349">_xlfn.TEXTJOIN(", ",TRUE(),TEXT(H349+_xlfn.SEQUENCE(HOUR(I349-H349),1,0,1)/24,"hh:mm:ss") &amp; "-" &amp; TEXT(H349+_xlfn.SEQUENCE(HOUR(I349-H349),1,1,1)/24,"hh:mm:ss"))</f>
        <v>14:00:00-15:00:00, 15:00:00-16:00:00</v>
      </c>
      <c r="M349" s="1" t="str">
        <f aca="false">IF(F349="","Não alocada","Alocada")</f>
        <v>Não alocada</v>
      </c>
      <c r="N349" s="17" t="s">
        <v>23</v>
      </c>
      <c r="O349" s="17" t="s">
        <v>24</v>
      </c>
    </row>
    <row r="350" customFormat="false" ht="15" hidden="false" customHeight="false" outlineLevel="0" collapsed="false">
      <c r="A350" s="28" t="s">
        <v>69</v>
      </c>
      <c r="B350" s="26" t="s">
        <v>745</v>
      </c>
      <c r="C350" s="26" t="s">
        <v>746</v>
      </c>
      <c r="D350" s="19" t="s">
        <v>60</v>
      </c>
      <c r="E350" s="26"/>
      <c r="G350" s="20" t="s">
        <v>34</v>
      </c>
      <c r="H350" s="27" t="n">
        <v>0.416666666666667</v>
      </c>
      <c r="I350" s="27" t="n">
        <v>0.5</v>
      </c>
      <c r="J350" s="22" t="n">
        <v>18</v>
      </c>
      <c r="K350" s="29"/>
      <c r="L350" s="23" t="str">
        <f aca="false" t="array" ref="L350:L350">_xlfn.TEXTJOIN(", ",TRUE(),TEXT(H350+_xlfn.SEQUENCE(HOUR(I350-H350),1,0,1)/24,"hh:mm:ss") &amp; "-" &amp; TEXT(H350+_xlfn.SEQUENCE(HOUR(I350-H350),1,1,1)/24,"hh:mm:ss"))</f>
        <v>10:00:00-11:00:00, 11:00:00-12:00:00</v>
      </c>
      <c r="M350" s="1" t="str">
        <f aca="false">IF(F350="","Não alocada","Alocada")</f>
        <v>Não alocada</v>
      </c>
      <c r="N350" s="17" t="s">
        <v>23</v>
      </c>
      <c r="O350" s="17" t="s">
        <v>24</v>
      </c>
    </row>
    <row r="351" customFormat="false" ht="15" hidden="false" customHeight="false" outlineLevel="0" collapsed="false">
      <c r="A351" s="28" t="s">
        <v>69</v>
      </c>
      <c r="B351" s="26" t="s">
        <v>745</v>
      </c>
      <c r="C351" s="26" t="s">
        <v>746</v>
      </c>
      <c r="D351" s="19" t="s">
        <v>41</v>
      </c>
      <c r="E351" s="26"/>
      <c r="G351" s="20" t="s">
        <v>34</v>
      </c>
      <c r="H351" s="27" t="n">
        <v>0.416666666666667</v>
      </c>
      <c r="I351" s="27" t="n">
        <v>0.5</v>
      </c>
      <c r="J351" s="22" t="n">
        <v>18</v>
      </c>
      <c r="K351" s="29"/>
      <c r="L351" s="23" t="str">
        <f aca="false" t="array" ref="L351:L351">_xlfn.TEXTJOIN(", ",TRUE(),TEXT(H351+_xlfn.SEQUENCE(HOUR(I351-H351),1,0,1)/24,"hh:mm:ss") &amp; "-" &amp; TEXT(H351+_xlfn.SEQUENCE(HOUR(I351-H351),1,1,1)/24,"hh:mm:ss"))</f>
        <v>10:00:00-11:00:00, 11:00:00-12:00:00</v>
      </c>
      <c r="M351" s="1" t="str">
        <f aca="false">IF(F351="","Não alocada","Alocada")</f>
        <v>Não alocada</v>
      </c>
      <c r="N351" s="17" t="s">
        <v>23</v>
      </c>
      <c r="O351" s="17" t="s">
        <v>24</v>
      </c>
    </row>
    <row r="352" customFormat="false" ht="15" hidden="false" customHeight="false" outlineLevel="0" collapsed="false">
      <c r="A352" s="28" t="s">
        <v>69</v>
      </c>
      <c r="B352" s="26" t="s">
        <v>745</v>
      </c>
      <c r="C352" s="26" t="s">
        <v>746</v>
      </c>
      <c r="D352" s="19" t="s">
        <v>32</v>
      </c>
      <c r="E352" s="26"/>
      <c r="G352" s="20" t="s">
        <v>34</v>
      </c>
      <c r="H352" s="27" t="n">
        <v>0.583333333333333</v>
      </c>
      <c r="I352" s="27" t="n">
        <v>0.666666666666667</v>
      </c>
      <c r="J352" s="22" t="n">
        <v>18</v>
      </c>
      <c r="K352" s="29"/>
      <c r="L352" s="23" t="str">
        <f aca="false" t="array" ref="L352:L352">_xlfn.TEXTJOIN(", ",TRUE(),TEXT(H352+_xlfn.SEQUENCE(HOUR(I352-H352),1,0,1)/24,"hh:mm:ss") &amp; "-" &amp; TEXT(H352+_xlfn.SEQUENCE(HOUR(I352-H352),1,1,1)/24,"hh:mm:ss"))</f>
        <v>14:00:00-15:00:00, 15:00:00-16:00:00</v>
      </c>
      <c r="M352" s="1" t="str">
        <f aca="false">IF(F352="","Não alocada","Alocada")</f>
        <v>Não alocada</v>
      </c>
      <c r="N352" s="17" t="s">
        <v>23</v>
      </c>
      <c r="O352" s="17" t="s">
        <v>24</v>
      </c>
    </row>
    <row r="353" customFormat="false" ht="15" hidden="false" customHeight="false" outlineLevel="0" collapsed="false">
      <c r="A353" s="28" t="s">
        <v>69</v>
      </c>
      <c r="B353" s="26" t="s">
        <v>747</v>
      </c>
      <c r="C353" s="26" t="s">
        <v>748</v>
      </c>
      <c r="D353" s="19" t="s">
        <v>27</v>
      </c>
      <c r="E353" s="26" t="s">
        <v>749</v>
      </c>
      <c r="G353" s="20"/>
      <c r="H353" s="36"/>
      <c r="I353" s="36"/>
      <c r="J353" s="22" t="n">
        <v>582</v>
      </c>
      <c r="K353" s="29"/>
      <c r="L353" s="23" t="e">
        <f aca="false" t="array" ref="L353:L353">_xlfn.TEXTJOIN(", ",TRUE(),TEXT(H353+_xlfn.SEQUENCE(HOUR(I353-H353),1,0,1)/24,"hh:mm:ss") &amp; "-" &amp; TEXT(H353+_xlfn.SEQUENCE(HOUR(I353-H353),1,1,1)/24,"hh:mm:ss"))</f>
        <v>#VALUE!</v>
      </c>
      <c r="M353" s="1" t="str">
        <f aca="false">IF(F353="","Não alocada","Alocada")</f>
        <v>Não alocada</v>
      </c>
      <c r="N353" s="17" t="s">
        <v>23</v>
      </c>
      <c r="O353" s="17" t="s">
        <v>24</v>
      </c>
    </row>
    <row r="354" customFormat="false" ht="15" hidden="false" customHeight="false" outlineLevel="0" collapsed="false">
      <c r="A354" s="18" t="s">
        <v>75</v>
      </c>
      <c r="B354" s="39" t="s">
        <v>750</v>
      </c>
      <c r="C354" s="26" t="s">
        <v>751</v>
      </c>
      <c r="D354" s="19" t="s">
        <v>76</v>
      </c>
      <c r="E354" s="26"/>
      <c r="G354" s="35" t="s">
        <v>45</v>
      </c>
      <c r="H354" s="36" t="n">
        <v>0.770833333333333</v>
      </c>
      <c r="I354" s="36" t="n">
        <v>0.854166666666667</v>
      </c>
      <c r="J354" s="22" t="e">
        <f aca="false">#N/A</f>
        <v>#N/A</v>
      </c>
      <c r="K354" s="37" t="s">
        <v>45</v>
      </c>
      <c r="L354" s="23" t="str">
        <f aca="false" t="array" ref="L354:L354">_xlfn.TEXTJOIN(", ",TRUE(),TEXT(H354+_xlfn.SEQUENCE(HOUR(I354-H354),1,0,1)/24,"hh:mm:ss") &amp; "-" &amp; TEXT(H354+_xlfn.SEQUENCE(HOUR(I354-H354),1,1,1)/24,"hh:mm:ss"))</f>
        <v>18:30:00-19:30:00, 19:30:00-20:30:00</v>
      </c>
      <c r="M354" s="1" t="str">
        <f aca="false">IF(F354="","Não alocada","Alocada")</f>
        <v>Não alocada</v>
      </c>
      <c r="N354" s="17" t="s">
        <v>23</v>
      </c>
      <c r="O354" s="17" t="s">
        <v>24</v>
      </c>
    </row>
    <row r="355" customFormat="false" ht="15" hidden="false" customHeight="false" outlineLevel="0" collapsed="false">
      <c r="A355" s="18" t="s">
        <v>75</v>
      </c>
      <c r="B355" s="39" t="s">
        <v>750</v>
      </c>
      <c r="C355" s="26" t="s">
        <v>751</v>
      </c>
      <c r="D355" s="19" t="s">
        <v>76</v>
      </c>
      <c r="E355" s="26"/>
      <c r="G355" s="35" t="s">
        <v>257</v>
      </c>
      <c r="H355" s="36" t="n">
        <v>0.75</v>
      </c>
      <c r="I355" s="36" t="n">
        <v>0.833333333333333</v>
      </c>
      <c r="J355" s="22" t="e">
        <f aca="false">#N/A</f>
        <v>#N/A</v>
      </c>
      <c r="K355" s="37" t="s">
        <v>257</v>
      </c>
      <c r="L355" s="23" t="str">
        <f aca="false" t="array" ref="L355:L355">_xlfn.TEXTJOIN(", ",TRUE(),TEXT(H355+_xlfn.SEQUENCE(HOUR(I355-H355),1,0,1)/24,"hh:mm:ss") &amp; "-" &amp; TEXT(H355+_xlfn.SEQUENCE(HOUR(I355-H355),1,1,1)/24,"hh:mm:ss"))</f>
        <v>18:00:00-19:00:00, 19:00:00-20:00:00</v>
      </c>
      <c r="M355" s="1" t="str">
        <f aca="false">IF(F355="","Não alocada","Alocada")</f>
        <v>Não alocada</v>
      </c>
      <c r="N355" s="17" t="s">
        <v>23</v>
      </c>
      <c r="O355" s="17" t="s">
        <v>24</v>
      </c>
    </row>
    <row r="356" customFormat="false" ht="15" hidden="false" customHeight="false" outlineLevel="0" collapsed="false">
      <c r="A356" s="18" t="s">
        <v>75</v>
      </c>
      <c r="B356" s="39" t="s">
        <v>752</v>
      </c>
      <c r="C356" s="26" t="s">
        <v>753</v>
      </c>
      <c r="D356" s="19" t="s">
        <v>76</v>
      </c>
      <c r="E356" s="26"/>
      <c r="G356" s="20" t="s">
        <v>117</v>
      </c>
      <c r="H356" s="27" t="n">
        <v>0.333333333333333</v>
      </c>
      <c r="I356" s="27" t="n">
        <v>0.416666666666667</v>
      </c>
      <c r="J356" s="22" t="e">
        <f aca="false">#N/A</f>
        <v>#N/A</v>
      </c>
      <c r="K356" s="29"/>
      <c r="L356" s="23" t="str">
        <f aca="false" t="array" ref="L356:L356">_xlfn.TEXTJOIN(", ",TRUE(),TEXT(H356+_xlfn.SEQUENCE(HOUR(I356-H356),1,0,1)/24,"hh:mm:ss") &amp; "-" &amp; TEXT(H356+_xlfn.SEQUENCE(HOUR(I356-H356),1,1,1)/24,"hh:mm:ss"))</f>
        <v>08:00:00-09:00:00, 09:00:00-10:00:00</v>
      </c>
      <c r="M356" s="1" t="str">
        <f aca="false">IF(F356="","Não alocada","Alocada")</f>
        <v>Não alocada</v>
      </c>
      <c r="N356" s="17" t="s">
        <v>23</v>
      </c>
      <c r="O356" s="17" t="s">
        <v>24</v>
      </c>
    </row>
    <row r="357" customFormat="false" ht="15" hidden="false" customHeight="false" outlineLevel="0" collapsed="false">
      <c r="A357" s="18" t="s">
        <v>75</v>
      </c>
      <c r="B357" s="39" t="s">
        <v>754</v>
      </c>
      <c r="C357" s="26" t="s">
        <v>755</v>
      </c>
      <c r="D357" s="19" t="s">
        <v>76</v>
      </c>
      <c r="E357" s="26"/>
      <c r="G357" s="20" t="s">
        <v>22</v>
      </c>
      <c r="H357" s="27" t="n">
        <v>0.666666666666667</v>
      </c>
      <c r="I357" s="27" t="n">
        <v>0.75</v>
      </c>
      <c r="J357" s="22" t="e">
        <f aca="false">#N/A</f>
        <v>#N/A</v>
      </c>
      <c r="K357" s="29"/>
      <c r="L357" s="23" t="str">
        <f aca="false" t="array" ref="L357:L357">_xlfn.TEXTJOIN(", ",TRUE(),TEXT(H357+_xlfn.SEQUENCE(HOUR(I357-H357),1,0,1)/24,"hh:mm:ss") &amp; "-" &amp; TEXT(H357+_xlfn.SEQUENCE(HOUR(I357-H357),1,1,1)/24,"hh:mm:ss"))</f>
        <v>16:00:00-17:00:00, 17:00:00-18:00:00</v>
      </c>
      <c r="M357" s="1" t="str">
        <f aca="false">IF(F357="","Não alocada","Alocada")</f>
        <v>Não alocada</v>
      </c>
      <c r="N357" s="17" t="s">
        <v>23</v>
      </c>
      <c r="O357" s="17" t="s">
        <v>24</v>
      </c>
    </row>
    <row r="358" customFormat="false" ht="15" hidden="false" customHeight="false" outlineLevel="0" collapsed="false">
      <c r="A358" s="18" t="s">
        <v>75</v>
      </c>
      <c r="B358" s="39" t="s">
        <v>756</v>
      </c>
      <c r="C358" s="26" t="s">
        <v>757</v>
      </c>
      <c r="D358" s="19" t="s">
        <v>76</v>
      </c>
      <c r="E358" s="26" t="s">
        <v>758</v>
      </c>
      <c r="G358" s="20" t="s">
        <v>29</v>
      </c>
      <c r="H358" s="27" t="n">
        <v>0.333333333333333</v>
      </c>
      <c r="I358" s="27" t="n">
        <v>0.416666666666667</v>
      </c>
      <c r="J358" s="22" t="e">
        <f aca="false">#N/A</f>
        <v>#N/A</v>
      </c>
      <c r="K358" s="29"/>
      <c r="L358" s="23" t="str">
        <f aca="false" t="array" ref="L358:L358">_xlfn.TEXTJOIN(", ",TRUE(),TEXT(H358+_xlfn.SEQUENCE(HOUR(I358-H358),1,0,1)/24,"hh:mm:ss") &amp; "-" &amp; TEXT(H358+_xlfn.SEQUENCE(HOUR(I358-H358),1,1,1)/24,"hh:mm:ss"))</f>
        <v>08:00:00-09:00:00, 09:00:00-10:00:00</v>
      </c>
      <c r="M358" s="1" t="str">
        <f aca="false">IF(F358="","Não alocada","Alocada")</f>
        <v>Não alocada</v>
      </c>
      <c r="N358" s="17" t="s">
        <v>23</v>
      </c>
      <c r="O358" s="17" t="s">
        <v>24</v>
      </c>
    </row>
    <row r="359" customFormat="false" ht="15" hidden="false" customHeight="false" outlineLevel="0" collapsed="false">
      <c r="A359" s="18" t="s">
        <v>75</v>
      </c>
      <c r="B359" s="39" t="s">
        <v>759</v>
      </c>
      <c r="C359" s="26" t="s">
        <v>760</v>
      </c>
      <c r="D359" s="19" t="s">
        <v>76</v>
      </c>
      <c r="E359" s="26" t="s">
        <v>761</v>
      </c>
      <c r="G359" s="20" t="s">
        <v>29</v>
      </c>
      <c r="H359" s="27" t="n">
        <v>0.416666666666667</v>
      </c>
      <c r="I359" s="27" t="n">
        <v>0.5</v>
      </c>
      <c r="J359" s="22" t="e">
        <f aca="false">#N/A</f>
        <v>#N/A</v>
      </c>
      <c r="K359" s="29"/>
      <c r="L359" s="23" t="str">
        <f aca="false" t="array" ref="L359:L359">_xlfn.TEXTJOIN(", ",TRUE(),TEXT(H359+_xlfn.SEQUENCE(HOUR(I359-H359),1,0,1)/24,"hh:mm:ss") &amp; "-" &amp; TEXT(H359+_xlfn.SEQUENCE(HOUR(I359-H359),1,1,1)/24,"hh:mm:ss"))</f>
        <v>10:00:00-11:00:00, 11:00:00-12:00:00</v>
      </c>
      <c r="M359" s="1" t="str">
        <f aca="false">IF(F359="","Não alocada","Alocada")</f>
        <v>Não alocada</v>
      </c>
      <c r="N359" s="17" t="s">
        <v>23</v>
      </c>
      <c r="O359" s="17" t="s">
        <v>24</v>
      </c>
    </row>
    <row r="360" customFormat="false" ht="15" hidden="false" customHeight="false" outlineLevel="0" collapsed="false">
      <c r="A360" s="18" t="s">
        <v>75</v>
      </c>
      <c r="B360" s="26" t="s">
        <v>762</v>
      </c>
      <c r="C360" s="30" t="s">
        <v>763</v>
      </c>
      <c r="D360" s="19" t="s">
        <v>76</v>
      </c>
      <c r="E360" s="26" t="s">
        <v>764</v>
      </c>
      <c r="G360" s="20" t="s">
        <v>213</v>
      </c>
      <c r="H360" s="27" t="n">
        <v>0.416666666666667</v>
      </c>
      <c r="I360" s="27" t="n">
        <v>0.5</v>
      </c>
      <c r="J360" s="22" t="n">
        <v>8</v>
      </c>
      <c r="K360" s="29"/>
      <c r="L360" s="23" t="str">
        <f aca="false" t="array" ref="L360:L360">_xlfn.TEXTJOIN(", ",TRUE(),TEXT(H360+_xlfn.SEQUENCE(HOUR(I360-H360),1,0,1)/24,"hh:mm:ss") &amp; "-" &amp; TEXT(H360+_xlfn.SEQUENCE(HOUR(I360-H360),1,1,1)/24,"hh:mm:ss"))</f>
        <v>10:00:00-11:00:00, 11:00:00-12:00:00</v>
      </c>
      <c r="M360" s="1" t="str">
        <f aca="false">IF(F360="","Não alocada","Alocada")</f>
        <v>Não alocada</v>
      </c>
      <c r="N360" s="17" t="s">
        <v>23</v>
      </c>
      <c r="O360" s="17" t="s">
        <v>24</v>
      </c>
    </row>
    <row r="361" customFormat="false" ht="15" hidden="false" customHeight="false" outlineLevel="0" collapsed="false">
      <c r="A361" s="18" t="s">
        <v>75</v>
      </c>
      <c r="B361" s="39" t="s">
        <v>765</v>
      </c>
      <c r="C361" s="26" t="s">
        <v>766</v>
      </c>
      <c r="D361" s="19" t="s">
        <v>228</v>
      </c>
      <c r="E361" s="26"/>
      <c r="G361" s="20" t="s">
        <v>595</v>
      </c>
      <c r="H361" s="27" t="n">
        <v>0.333333333333333</v>
      </c>
      <c r="I361" s="27" t="n">
        <v>0.416666666666667</v>
      </c>
      <c r="J361" s="22" t="e">
        <f aca="false">#N/A</f>
        <v>#N/A</v>
      </c>
      <c r="K361" s="29"/>
      <c r="L361" s="23" t="str">
        <f aca="false" t="array" ref="L361:L361">_xlfn.TEXTJOIN(", ",TRUE(),TEXT(H361+_xlfn.SEQUENCE(HOUR(I361-H361),1,0,1)/24,"hh:mm:ss") &amp; "-" &amp; TEXT(H361+_xlfn.SEQUENCE(HOUR(I361-H361),1,1,1)/24,"hh:mm:ss"))</f>
        <v>08:00:00-09:00:00, 09:00:00-10:00:00</v>
      </c>
      <c r="M361" s="1" t="str">
        <f aca="false">IF(F361="","Não alocada","Alocada")</f>
        <v>Não alocada</v>
      </c>
      <c r="N361" s="17" t="s">
        <v>23</v>
      </c>
      <c r="O361" s="17" t="s">
        <v>24</v>
      </c>
    </row>
    <row r="362" customFormat="false" ht="15" hidden="false" customHeight="false" outlineLevel="0" collapsed="false">
      <c r="A362" s="18" t="s">
        <v>75</v>
      </c>
      <c r="B362" s="39" t="s">
        <v>750</v>
      </c>
      <c r="C362" s="26" t="s">
        <v>767</v>
      </c>
      <c r="D362" s="19" t="s">
        <v>76</v>
      </c>
      <c r="E362" s="26"/>
      <c r="G362" s="20" t="s">
        <v>34</v>
      </c>
      <c r="H362" s="27" t="n">
        <v>0.333333333333333</v>
      </c>
      <c r="I362" s="27" t="n">
        <v>0.416666666666667</v>
      </c>
      <c r="J362" s="22" t="e">
        <f aca="false">#N/A</f>
        <v>#N/A</v>
      </c>
      <c r="K362" s="29"/>
      <c r="L362" s="23" t="str">
        <f aca="false" t="array" ref="L362:L362">_xlfn.TEXTJOIN(", ",TRUE(),TEXT(H362+_xlfn.SEQUENCE(HOUR(I362-H362),1,0,1)/24,"hh:mm:ss") &amp; "-" &amp; TEXT(H362+_xlfn.SEQUENCE(HOUR(I362-H362),1,1,1)/24,"hh:mm:ss"))</f>
        <v>08:00:00-09:00:00, 09:00:00-10:00:00</v>
      </c>
      <c r="M362" s="1" t="str">
        <f aca="false">IF(F362="","Não alocada","Alocada")</f>
        <v>Não alocada</v>
      </c>
      <c r="N362" s="17" t="s">
        <v>23</v>
      </c>
      <c r="O362" s="17" t="s">
        <v>24</v>
      </c>
    </row>
    <row r="363" customFormat="false" ht="15" hidden="false" customHeight="false" outlineLevel="0" collapsed="false">
      <c r="A363" s="18" t="s">
        <v>82</v>
      </c>
      <c r="B363" s="26" t="s">
        <v>768</v>
      </c>
      <c r="C363" s="26" t="s">
        <v>769</v>
      </c>
      <c r="D363" s="19" t="s">
        <v>19</v>
      </c>
      <c r="E363" s="30" t="s">
        <v>770</v>
      </c>
      <c r="G363" s="20" t="s">
        <v>29</v>
      </c>
      <c r="H363" s="27" t="n">
        <v>0.416666666666667</v>
      </c>
      <c r="I363" s="27" t="n">
        <v>0.5</v>
      </c>
      <c r="J363" s="22" t="n">
        <v>22</v>
      </c>
      <c r="K363" s="29"/>
      <c r="L363" s="23" t="str">
        <f aca="false" t="array" ref="L363:L363">_xlfn.TEXTJOIN(", ",TRUE(),TEXT(H363+_xlfn.SEQUENCE(HOUR(I363-H363),1,0,1)/24,"hh:mm:ss") &amp; "-" &amp; TEXT(H363+_xlfn.SEQUENCE(HOUR(I363-H363),1,1,1)/24,"hh:mm:ss"))</f>
        <v>10:00:00-11:00:00, 11:00:00-12:00:00</v>
      </c>
      <c r="M363" s="1" t="str">
        <f aca="false">IF(F363="","Não alocada","Alocada")</f>
        <v>Não alocada</v>
      </c>
      <c r="N363" s="17" t="s">
        <v>23</v>
      </c>
      <c r="O363" s="17" t="s">
        <v>24</v>
      </c>
    </row>
    <row r="364" customFormat="false" ht="15" hidden="false" customHeight="false" outlineLevel="0" collapsed="false">
      <c r="A364" s="18" t="s">
        <v>83</v>
      </c>
      <c r="B364" s="26" t="s">
        <v>771</v>
      </c>
      <c r="C364" s="26" t="s">
        <v>772</v>
      </c>
      <c r="D364" s="19" t="s">
        <v>76</v>
      </c>
      <c r="E364" s="26" t="s">
        <v>142</v>
      </c>
      <c r="G364" s="20" t="s">
        <v>22</v>
      </c>
      <c r="H364" s="27" t="n">
        <v>0.75</v>
      </c>
      <c r="I364" s="27" t="n">
        <v>0.833333333333333</v>
      </c>
      <c r="J364" s="22" t="n">
        <v>40</v>
      </c>
      <c r="K364" s="29"/>
      <c r="L364" s="23" t="str">
        <f aca="false" t="array" ref="L364:L364">_xlfn.TEXTJOIN(", ",TRUE(),TEXT(H364+_xlfn.SEQUENCE(HOUR(I364-H364),1,0,1)/24,"hh:mm:ss") &amp; "-" &amp; TEXT(H364+_xlfn.SEQUENCE(HOUR(I364-H364),1,1,1)/24,"hh:mm:ss"))</f>
        <v>18:00:00-19:00:00, 19:00:00-20:00:00</v>
      </c>
      <c r="M364" s="1" t="str">
        <f aca="false">IF(F364="","Não alocada","Alocada")</f>
        <v>Não alocada</v>
      </c>
      <c r="N364" s="17" t="s">
        <v>23</v>
      </c>
      <c r="O364" s="17" t="s">
        <v>24</v>
      </c>
    </row>
    <row r="365" customFormat="false" ht="15" hidden="false" customHeight="false" outlineLevel="0" collapsed="false">
      <c r="A365" s="49" t="s">
        <v>773</v>
      </c>
      <c r="B365" s="39" t="s">
        <v>774</v>
      </c>
      <c r="C365" s="26" t="s">
        <v>775</v>
      </c>
      <c r="D365" s="19" t="s">
        <v>76</v>
      </c>
      <c r="E365" s="26" t="s">
        <v>776</v>
      </c>
      <c r="G365" s="35" t="s">
        <v>22</v>
      </c>
      <c r="H365" s="36" t="n">
        <v>0.666666666666667</v>
      </c>
      <c r="I365" s="36" t="n">
        <v>0.75</v>
      </c>
      <c r="J365" s="22" t="e">
        <f aca="false">#N/A</f>
        <v>#N/A</v>
      </c>
      <c r="K365" s="37" t="s">
        <v>22</v>
      </c>
      <c r="L365" s="23" t="str">
        <f aca="false" t="array" ref="L365:L365">_xlfn.TEXTJOIN(", ",TRUE(),TEXT(H365+_xlfn.SEQUENCE(HOUR(I365-H365),1,0,1)/24,"hh:mm:ss") &amp; "-" &amp; TEXT(H365+_xlfn.SEQUENCE(HOUR(I365-H365),1,1,1)/24,"hh:mm:ss"))</f>
        <v>16:00:00-17:00:00, 17:00:00-18:00:00</v>
      </c>
      <c r="M365" s="1" t="str">
        <f aca="false">IF(F365="","Não alocada","Alocada")</f>
        <v>Não alocada</v>
      </c>
      <c r="N365" s="17" t="s">
        <v>23</v>
      </c>
      <c r="O365" s="17" t="s">
        <v>24</v>
      </c>
    </row>
    <row r="366" customFormat="false" ht="15" hidden="false" customHeight="false" outlineLevel="0" collapsed="false">
      <c r="A366" s="49" t="s">
        <v>773</v>
      </c>
      <c r="B366" s="39" t="s">
        <v>774</v>
      </c>
      <c r="C366" s="26" t="s">
        <v>775</v>
      </c>
      <c r="D366" s="19" t="s">
        <v>76</v>
      </c>
      <c r="E366" s="26" t="s">
        <v>776</v>
      </c>
      <c r="G366" s="35" t="s">
        <v>56</v>
      </c>
      <c r="H366" s="36" t="n">
        <v>0.583333333333333</v>
      </c>
      <c r="I366" s="36" t="n">
        <v>0.666666666666667</v>
      </c>
      <c r="J366" s="22" t="e">
        <f aca="false">#N/A</f>
        <v>#N/A</v>
      </c>
      <c r="K366" s="37" t="s">
        <v>56</v>
      </c>
      <c r="L366" s="23" t="str">
        <f aca="false" t="array" ref="L366:L366">_xlfn.TEXTJOIN(", ",TRUE(),TEXT(H366+_xlfn.SEQUENCE(HOUR(I366-H366),1,0,1)/24,"hh:mm:ss") &amp; "-" &amp; TEXT(H366+_xlfn.SEQUENCE(HOUR(I366-H366),1,1,1)/24,"hh:mm:ss"))</f>
        <v>14:00:00-15:00:00, 15:00:00-16:00:00</v>
      </c>
      <c r="M366" s="1" t="str">
        <f aca="false">IF(F366="","Não alocada","Alocada")</f>
        <v>Não alocada</v>
      </c>
      <c r="N366" s="17" t="s">
        <v>23</v>
      </c>
      <c r="O366" s="17" t="s">
        <v>24</v>
      </c>
    </row>
    <row r="367" customFormat="false" ht="15" hidden="false" customHeight="false" outlineLevel="0" collapsed="false">
      <c r="A367" s="18" t="s">
        <v>773</v>
      </c>
      <c r="B367" s="39" t="s">
        <v>777</v>
      </c>
      <c r="C367" s="26" t="s">
        <v>778</v>
      </c>
      <c r="D367" s="19" t="s">
        <v>76</v>
      </c>
      <c r="E367" s="26" t="s">
        <v>779</v>
      </c>
      <c r="G367" s="20" t="s">
        <v>117</v>
      </c>
      <c r="H367" s="27" t="n">
        <v>0.416666666666667</v>
      </c>
      <c r="I367" s="27" t="n">
        <v>0.5</v>
      </c>
      <c r="J367" s="22" t="e">
        <f aca="false">#N/A</f>
        <v>#N/A</v>
      </c>
      <c r="K367" s="26"/>
      <c r="L367" s="23" t="str">
        <f aca="false" t="array" ref="L367:L367">_xlfn.TEXTJOIN(", ",TRUE(),TEXT(H367+_xlfn.SEQUENCE(HOUR(I367-H367),1,0,1)/24,"hh:mm:ss") &amp; "-" &amp; TEXT(H367+_xlfn.SEQUENCE(HOUR(I367-H367),1,1,1)/24,"hh:mm:ss"))</f>
        <v>10:00:00-11:00:00, 11:00:00-12:00:00</v>
      </c>
      <c r="M367" s="1" t="str">
        <f aca="false">IF(F367="","Não alocada","Alocada")</f>
        <v>Não alocada</v>
      </c>
      <c r="N367" s="17" t="s">
        <v>23</v>
      </c>
      <c r="O367" s="17" t="s">
        <v>24</v>
      </c>
    </row>
    <row r="368" customFormat="false" ht="15" hidden="false" customHeight="false" outlineLevel="0" collapsed="false">
      <c r="A368" s="49" t="s">
        <v>773</v>
      </c>
      <c r="B368" s="39" t="s">
        <v>780</v>
      </c>
      <c r="C368" s="26" t="s">
        <v>781</v>
      </c>
      <c r="D368" s="19" t="s">
        <v>76</v>
      </c>
      <c r="E368" s="26" t="s">
        <v>782</v>
      </c>
      <c r="G368" s="20" t="s">
        <v>117</v>
      </c>
      <c r="H368" s="27" t="n">
        <v>0.416666666666667</v>
      </c>
      <c r="I368" s="27" t="n">
        <v>0.5</v>
      </c>
      <c r="J368" s="22" t="e">
        <f aca="false">#N/A</f>
        <v>#N/A</v>
      </c>
      <c r="K368" s="26"/>
      <c r="L368" s="23" t="str">
        <f aca="false" t="array" ref="L368:L368">_xlfn.TEXTJOIN(", ",TRUE(),TEXT(H368+_xlfn.SEQUENCE(HOUR(I368-H368),1,0,1)/24,"hh:mm:ss") &amp; "-" &amp; TEXT(H368+_xlfn.SEQUENCE(HOUR(I368-H368),1,1,1)/24,"hh:mm:ss"))</f>
        <v>10:00:00-11:00:00, 11:00:00-12:00:00</v>
      </c>
      <c r="M368" s="1" t="str">
        <f aca="false">IF(F368="","Não alocada","Alocada")</f>
        <v>Não alocada</v>
      </c>
      <c r="N368" s="17" t="s">
        <v>23</v>
      </c>
      <c r="O368" s="17" t="s">
        <v>24</v>
      </c>
    </row>
    <row r="369" customFormat="false" ht="15" hidden="false" customHeight="false" outlineLevel="0" collapsed="false">
      <c r="A369" s="49" t="s">
        <v>773</v>
      </c>
      <c r="B369" s="39" t="s">
        <v>783</v>
      </c>
      <c r="C369" s="26" t="s">
        <v>784</v>
      </c>
      <c r="D369" s="19" t="s">
        <v>76</v>
      </c>
      <c r="E369" s="26" t="s">
        <v>785</v>
      </c>
      <c r="G369" s="20" t="s">
        <v>29</v>
      </c>
      <c r="H369" s="27" t="n">
        <v>0.333333333333333</v>
      </c>
      <c r="I369" s="27" t="n">
        <v>0.416666666666667</v>
      </c>
      <c r="J369" s="22" t="e">
        <f aca="false">#N/A</f>
        <v>#N/A</v>
      </c>
      <c r="K369" s="26"/>
      <c r="L369" s="23" t="str">
        <f aca="false" t="array" ref="L369:L369">_xlfn.TEXTJOIN(", ",TRUE(),TEXT(H369+_xlfn.SEQUENCE(HOUR(I369-H369),1,0,1)/24,"hh:mm:ss") &amp; "-" &amp; TEXT(H369+_xlfn.SEQUENCE(HOUR(I369-H369),1,1,1)/24,"hh:mm:ss"))</f>
        <v>08:00:00-09:00:00, 09:00:00-10:00:00</v>
      </c>
      <c r="M369" s="1" t="str">
        <f aca="false">IF(F369="","Não alocada","Alocada")</f>
        <v>Não alocada</v>
      </c>
      <c r="N369" s="17" t="s">
        <v>23</v>
      </c>
      <c r="O369" s="17" t="s">
        <v>24</v>
      </c>
    </row>
    <row r="370" customFormat="false" ht="15" hidden="false" customHeight="false" outlineLevel="0" collapsed="false">
      <c r="A370" s="49" t="s">
        <v>773</v>
      </c>
      <c r="B370" s="39" t="s">
        <v>786</v>
      </c>
      <c r="C370" s="26" t="s">
        <v>787</v>
      </c>
      <c r="D370" s="19" t="s">
        <v>76</v>
      </c>
      <c r="E370" s="26" t="s">
        <v>788</v>
      </c>
      <c r="G370" s="20" t="s">
        <v>66</v>
      </c>
      <c r="H370" s="27" t="n">
        <v>0.333333333333333</v>
      </c>
      <c r="I370" s="27" t="n">
        <v>0.416666666666667</v>
      </c>
      <c r="J370" s="22" t="e">
        <f aca="false">#N/A</f>
        <v>#N/A</v>
      </c>
      <c r="K370" s="26"/>
      <c r="L370" s="23" t="str">
        <f aca="false" t="array" ref="L370:L370">_xlfn.TEXTJOIN(", ",TRUE(),TEXT(H370+_xlfn.SEQUENCE(HOUR(I370-H370),1,0,1)/24,"hh:mm:ss") &amp; "-" &amp; TEXT(H370+_xlfn.SEQUENCE(HOUR(I370-H370),1,1,1)/24,"hh:mm:ss"))</f>
        <v>08:00:00-09:00:00, 09:00:00-10:00:00</v>
      </c>
      <c r="M370" s="1" t="str">
        <f aca="false">IF(F370="","Não alocada","Alocada")</f>
        <v>Não alocada</v>
      </c>
      <c r="N370" s="17" t="s">
        <v>23</v>
      </c>
      <c r="O370" s="17" t="s">
        <v>24</v>
      </c>
    </row>
    <row r="371" customFormat="false" ht="15" hidden="false" customHeight="false" outlineLevel="0" collapsed="false">
      <c r="A371" s="49" t="s">
        <v>773</v>
      </c>
      <c r="B371" s="39" t="s">
        <v>789</v>
      </c>
      <c r="C371" s="26" t="s">
        <v>790</v>
      </c>
      <c r="D371" s="19" t="s">
        <v>76</v>
      </c>
      <c r="E371" s="26" t="s">
        <v>791</v>
      </c>
      <c r="G371" s="20" t="s">
        <v>34</v>
      </c>
      <c r="H371" s="27" t="n">
        <v>0.666666666666667</v>
      </c>
      <c r="I371" s="27" t="n">
        <v>0.75</v>
      </c>
      <c r="J371" s="22" t="e">
        <f aca="false">#N/A</f>
        <v>#N/A</v>
      </c>
      <c r="K371" s="26"/>
      <c r="L371" s="23" t="str">
        <f aca="false" t="array" ref="L371:L371">_xlfn.TEXTJOIN(", ",TRUE(),TEXT(H371+_xlfn.SEQUENCE(HOUR(I371-H371),1,0,1)/24,"hh:mm:ss") &amp; "-" &amp; TEXT(H371+_xlfn.SEQUENCE(HOUR(I371-H371),1,1,1)/24,"hh:mm:ss"))</f>
        <v>16:00:00-17:00:00, 17:00:00-18:00:00</v>
      </c>
      <c r="M371" s="1" t="str">
        <f aca="false">IF(F371="","Não alocada","Alocada")</f>
        <v>Não alocada</v>
      </c>
      <c r="N371" s="17" t="s">
        <v>23</v>
      </c>
      <c r="O371" s="17" t="s">
        <v>24</v>
      </c>
    </row>
    <row r="372" customFormat="false" ht="15" hidden="false" customHeight="false" outlineLevel="0" collapsed="false">
      <c r="A372" s="49" t="s">
        <v>773</v>
      </c>
      <c r="B372" s="39" t="s">
        <v>792</v>
      </c>
      <c r="C372" s="26" t="s">
        <v>793</v>
      </c>
      <c r="D372" s="19" t="s">
        <v>76</v>
      </c>
      <c r="E372" s="26" t="s">
        <v>794</v>
      </c>
      <c r="G372" s="20" t="s">
        <v>34</v>
      </c>
      <c r="H372" s="27" t="n">
        <v>0.333333333333333</v>
      </c>
      <c r="I372" s="27" t="n">
        <v>0.416666666666667</v>
      </c>
      <c r="J372" s="22" t="e">
        <f aca="false">#N/A</f>
        <v>#N/A</v>
      </c>
      <c r="K372" s="26"/>
      <c r="L372" s="23" t="str">
        <f aca="false" t="array" ref="L372:L372">_xlfn.TEXTJOIN(", ",TRUE(),TEXT(H372+_xlfn.SEQUENCE(HOUR(I372-H372),1,0,1)/24,"hh:mm:ss") &amp; "-" &amp; TEXT(H372+_xlfn.SEQUENCE(HOUR(I372-H372),1,1,1)/24,"hh:mm:ss"))</f>
        <v>08:00:00-09:00:00, 09:00:00-10:00:00</v>
      </c>
      <c r="M372" s="1" t="str">
        <f aca="false">IF(F372="","Não alocada","Alocada")</f>
        <v>Não alocada</v>
      </c>
      <c r="N372" s="17" t="s">
        <v>23</v>
      </c>
      <c r="O372" s="17" t="s">
        <v>24</v>
      </c>
    </row>
    <row r="373" customFormat="false" ht="15" hidden="false" customHeight="false" outlineLevel="0" collapsed="false">
      <c r="A373" s="49" t="s">
        <v>773</v>
      </c>
      <c r="B373" s="39" t="s">
        <v>795</v>
      </c>
      <c r="C373" s="26" t="s">
        <v>796</v>
      </c>
      <c r="D373" s="19" t="s">
        <v>76</v>
      </c>
      <c r="E373" s="26" t="s">
        <v>797</v>
      </c>
      <c r="G373" s="20" t="s">
        <v>34</v>
      </c>
      <c r="H373" s="27" t="n">
        <v>0.416666666666667</v>
      </c>
      <c r="I373" s="27" t="n">
        <v>0.5</v>
      </c>
      <c r="J373" s="22" t="e">
        <f aca="false">#N/A</f>
        <v>#N/A</v>
      </c>
      <c r="K373" s="26"/>
      <c r="L373" s="23" t="str">
        <f aca="false" t="array" ref="L373:L373">_xlfn.TEXTJOIN(", ",TRUE(),TEXT(H373+_xlfn.SEQUENCE(HOUR(I373-H373),1,0,1)/24,"hh:mm:ss") &amp; "-" &amp; TEXT(H373+_xlfn.SEQUENCE(HOUR(I373-H373),1,1,1)/24,"hh:mm:ss"))</f>
        <v>10:00:00-11:00:00, 11:00:00-12:00:00</v>
      </c>
      <c r="M373" s="1" t="str">
        <f aca="false">IF(F373="","Não alocada","Alocada")</f>
        <v>Não alocada</v>
      </c>
      <c r="N373" s="17" t="s">
        <v>23</v>
      </c>
      <c r="O373" s="17" t="s">
        <v>24</v>
      </c>
    </row>
    <row r="374" customFormat="false" ht="15" hidden="false" customHeight="false" outlineLevel="0" collapsed="false">
      <c r="A374" s="49" t="s">
        <v>773</v>
      </c>
      <c r="B374" s="39" t="s">
        <v>798</v>
      </c>
      <c r="C374" s="26" t="s">
        <v>799</v>
      </c>
      <c r="D374" s="19" t="s">
        <v>76</v>
      </c>
      <c r="E374" s="26" t="s">
        <v>800</v>
      </c>
      <c r="G374" s="20" t="s">
        <v>34</v>
      </c>
      <c r="H374" s="27" t="n">
        <v>0.416666666666667</v>
      </c>
      <c r="I374" s="27" t="n">
        <v>0.5</v>
      </c>
      <c r="J374" s="22" t="e">
        <f aca="false">#N/A</f>
        <v>#N/A</v>
      </c>
      <c r="K374" s="26"/>
      <c r="L374" s="23" t="str">
        <f aca="false" t="array" ref="L374:L374">_xlfn.TEXTJOIN(", ",TRUE(),TEXT(H374+_xlfn.SEQUENCE(HOUR(I374-H374),1,0,1)/24,"hh:mm:ss") &amp; "-" &amp; TEXT(H374+_xlfn.SEQUENCE(HOUR(I374-H374),1,1,1)/24,"hh:mm:ss"))</f>
        <v>10:00:00-11:00:00, 11:00:00-12:00:00</v>
      </c>
      <c r="M374" s="1" t="str">
        <f aca="false">IF(F374="","Não alocada","Alocada")</f>
        <v>Não alocada</v>
      </c>
      <c r="N374" s="17" t="s">
        <v>23</v>
      </c>
      <c r="O374" s="17" t="s">
        <v>24</v>
      </c>
    </row>
    <row r="375" customFormat="false" ht="15" hidden="false" customHeight="false" outlineLevel="0" collapsed="false">
      <c r="A375" s="49" t="s">
        <v>773</v>
      </c>
      <c r="B375" s="39" t="s">
        <v>801</v>
      </c>
      <c r="C375" s="26" t="s">
        <v>802</v>
      </c>
      <c r="D375" s="19" t="s">
        <v>76</v>
      </c>
      <c r="E375" s="26" t="s">
        <v>803</v>
      </c>
      <c r="G375" s="20" t="s">
        <v>34</v>
      </c>
      <c r="H375" s="27" t="n">
        <v>0.416666666666667</v>
      </c>
      <c r="I375" s="27" t="n">
        <v>0.5</v>
      </c>
      <c r="J375" s="22" t="e">
        <f aca="false">#N/A</f>
        <v>#N/A</v>
      </c>
      <c r="K375" s="26"/>
      <c r="L375" s="23" t="str">
        <f aca="false" t="array" ref="L375:L375">_xlfn.TEXTJOIN(", ",TRUE(),TEXT(H375+_xlfn.SEQUENCE(HOUR(I375-H375),1,0,1)/24,"hh:mm:ss") &amp; "-" &amp; TEXT(H375+_xlfn.SEQUENCE(HOUR(I375-H375),1,1,1)/24,"hh:mm:ss"))</f>
        <v>10:00:00-11:00:00, 11:00:00-12:00:00</v>
      </c>
      <c r="M375" s="1" t="str">
        <f aca="false">IF(F375="","Não alocada","Alocada")</f>
        <v>Não alocada</v>
      </c>
      <c r="N375" s="17" t="s">
        <v>23</v>
      </c>
      <c r="O375" s="17" t="s">
        <v>24</v>
      </c>
    </row>
    <row r="376" customFormat="false" ht="15" hidden="false" customHeight="false" outlineLevel="0" collapsed="false">
      <c r="A376" s="49" t="s">
        <v>773</v>
      </c>
      <c r="B376" s="39" t="s">
        <v>804</v>
      </c>
      <c r="C376" s="26" t="s">
        <v>805</v>
      </c>
      <c r="D376" s="19" t="s">
        <v>76</v>
      </c>
      <c r="E376" s="26" t="s">
        <v>806</v>
      </c>
      <c r="G376" s="20" t="s">
        <v>34</v>
      </c>
      <c r="H376" s="27" t="n">
        <v>0.333333333333333</v>
      </c>
      <c r="I376" s="27" t="n">
        <v>0.416666666666667</v>
      </c>
      <c r="J376" s="22" t="e">
        <f aca="false">#N/A</f>
        <v>#N/A</v>
      </c>
      <c r="K376" s="26"/>
      <c r="L376" s="23" t="str">
        <f aca="false" t="array" ref="L376:L376">_xlfn.TEXTJOIN(", ",TRUE(),TEXT(H376+_xlfn.SEQUENCE(HOUR(I376-H376),1,0,1)/24,"hh:mm:ss") &amp; "-" &amp; TEXT(H376+_xlfn.SEQUENCE(HOUR(I376-H376),1,1,1)/24,"hh:mm:ss"))</f>
        <v>08:00:00-09:00:00, 09:00:00-10:00:00</v>
      </c>
      <c r="M376" s="1" t="str">
        <f aca="false">IF(F376="","Não alocada","Alocada")</f>
        <v>Não alocada</v>
      </c>
      <c r="N376" s="17" t="s">
        <v>23</v>
      </c>
      <c r="O376" s="17" t="s">
        <v>24</v>
      </c>
    </row>
    <row r="377" customFormat="false" ht="15" hidden="false" customHeight="false" outlineLevel="0" collapsed="false">
      <c r="A377" s="18" t="s">
        <v>90</v>
      </c>
      <c r="B377" s="31" t="s">
        <v>807</v>
      </c>
      <c r="C377" s="31" t="s">
        <v>808</v>
      </c>
      <c r="D377" s="19" t="s">
        <v>27</v>
      </c>
      <c r="E377" s="26"/>
      <c r="G377" s="20" t="s">
        <v>34</v>
      </c>
      <c r="H377" s="27" t="n">
        <v>0.583333333333333</v>
      </c>
      <c r="I377" s="27" t="n">
        <v>0.666666666666667</v>
      </c>
      <c r="J377" s="22" t="n">
        <v>35</v>
      </c>
      <c r="K377" s="29"/>
      <c r="L377" s="23" t="str">
        <f aca="false" t="array" ref="L377:L377">_xlfn.TEXTJOIN(", ",TRUE(),TEXT(H377+_xlfn.SEQUENCE(HOUR(I377-H377),1,0,1)/24,"hh:mm:ss") &amp; "-" &amp; TEXT(H377+_xlfn.SEQUENCE(HOUR(I377-H377),1,1,1)/24,"hh:mm:ss"))</f>
        <v>14:00:00-15:00:00, 15:00:00-16:00:00</v>
      </c>
      <c r="M377" s="1" t="str">
        <f aca="false">IF(F377="","Não alocada","Alocada")</f>
        <v>Não alocada</v>
      </c>
      <c r="N377" s="17" t="s">
        <v>23</v>
      </c>
      <c r="O377" s="17" t="s">
        <v>24</v>
      </c>
    </row>
    <row r="378" customFormat="false" ht="15" hidden="false" customHeight="false" outlineLevel="0" collapsed="false">
      <c r="A378" s="18" t="s">
        <v>90</v>
      </c>
      <c r="B378" s="31" t="s">
        <v>807</v>
      </c>
      <c r="C378" s="31" t="s">
        <v>808</v>
      </c>
      <c r="D378" s="19" t="s">
        <v>60</v>
      </c>
      <c r="E378" s="26"/>
      <c r="G378" s="20" t="s">
        <v>34</v>
      </c>
      <c r="H378" s="27" t="n">
        <v>1.58333333333333</v>
      </c>
      <c r="I378" s="27" t="n">
        <v>1.66666666666667</v>
      </c>
      <c r="J378" s="22" t="n">
        <v>35</v>
      </c>
      <c r="K378" s="29"/>
      <c r="L378" s="23" t="str">
        <f aca="false" t="array" ref="L378:L378">_xlfn.TEXTJOIN(", ",TRUE(),TEXT(H378+_xlfn.SEQUENCE(HOUR(I378-H378),1,0,1)/24,"hh:mm:ss") &amp; "-" &amp; TEXT(H378+_xlfn.SEQUENCE(HOUR(I378-H378),1,1,1)/24,"hh:mm:ss"))</f>
        <v>14:00:00-15:00:00, 15:00:00-16:00:00</v>
      </c>
      <c r="M378" s="1" t="str">
        <f aca="false">IF(F378="","Não alocada","Alocada")</f>
        <v>Não alocada</v>
      </c>
      <c r="N378" s="17" t="s">
        <v>23</v>
      </c>
      <c r="O378" s="17" t="s">
        <v>24</v>
      </c>
    </row>
    <row r="379" customFormat="false" ht="15" hidden="false" customHeight="false" outlineLevel="0" collapsed="false">
      <c r="A379" s="18" t="s">
        <v>92</v>
      </c>
      <c r="B379" s="32" t="s">
        <v>809</v>
      </c>
      <c r="C379" s="32" t="s">
        <v>810</v>
      </c>
      <c r="D379" s="19" t="s">
        <v>27</v>
      </c>
      <c r="E379" s="32" t="s">
        <v>811</v>
      </c>
      <c r="G379" s="34" t="s">
        <v>56</v>
      </c>
      <c r="H379" s="34" t="s">
        <v>156</v>
      </c>
      <c r="I379" s="34" t="s">
        <v>98</v>
      </c>
      <c r="J379" s="22" t="n">
        <v>2</v>
      </c>
      <c r="K379" s="29"/>
      <c r="L379" s="23" t="str">
        <f aca="false" t="array" ref="L379:L379">_xlfn.TEXTJOIN(", ",TRUE(),TEXT(H379+_xlfn.SEQUENCE(HOUR(I379-H379),1,0,1)/24,"hh:mm:ss") &amp; "-" &amp; TEXT(H379+_xlfn.SEQUENCE(HOUR(I379-H379),1,1,1)/24,"hh:mm:ss"))</f>
        <v>12:00:00-13:00:00, 13:00:00-14:00:00</v>
      </c>
      <c r="M379" s="1" t="str">
        <f aca="false">IF(F379="","Não alocada","Alocada")</f>
        <v>Não alocada</v>
      </c>
      <c r="N379" s="17" t="s">
        <v>23</v>
      </c>
      <c r="O379" s="17" t="s">
        <v>24</v>
      </c>
    </row>
    <row r="380" customFormat="false" ht="15" hidden="false" customHeight="false" outlineLevel="0" collapsed="false">
      <c r="A380" s="18" t="s">
        <v>92</v>
      </c>
      <c r="B380" s="32" t="s">
        <v>809</v>
      </c>
      <c r="C380" s="32" t="s">
        <v>810</v>
      </c>
      <c r="D380" s="19" t="s">
        <v>41</v>
      </c>
      <c r="E380" s="32" t="s">
        <v>812</v>
      </c>
      <c r="G380" s="34" t="s">
        <v>56</v>
      </c>
      <c r="H380" s="34" t="s">
        <v>156</v>
      </c>
      <c r="I380" s="34" t="s">
        <v>98</v>
      </c>
      <c r="J380" s="22" t="n">
        <v>2</v>
      </c>
      <c r="K380" s="29"/>
      <c r="L380" s="23" t="str">
        <f aca="false" t="array" ref="L380:L380">_xlfn.TEXTJOIN(", ",TRUE(),TEXT(H380+_xlfn.SEQUENCE(HOUR(I380-H380),1,0,1)/24,"hh:mm:ss") &amp; "-" &amp; TEXT(H380+_xlfn.SEQUENCE(HOUR(I380-H380),1,1,1)/24,"hh:mm:ss"))</f>
        <v>12:00:00-13:00:00, 13:00:00-14:00:00</v>
      </c>
      <c r="M380" s="1" t="str">
        <f aca="false">IF(F380="","Não alocada","Alocada")</f>
        <v>Não alocada</v>
      </c>
      <c r="N380" s="17" t="s">
        <v>23</v>
      </c>
      <c r="O380" s="17" t="s">
        <v>24</v>
      </c>
    </row>
    <row r="381" customFormat="false" ht="15" hidden="false" customHeight="false" outlineLevel="0" collapsed="false">
      <c r="A381" s="18" t="s">
        <v>92</v>
      </c>
      <c r="B381" s="32" t="s">
        <v>813</v>
      </c>
      <c r="C381" s="32" t="s">
        <v>814</v>
      </c>
      <c r="D381" s="19" t="s">
        <v>27</v>
      </c>
      <c r="E381" s="32" t="s">
        <v>811</v>
      </c>
      <c r="G381" s="34" t="s">
        <v>56</v>
      </c>
      <c r="H381" s="34" t="s">
        <v>96</v>
      </c>
      <c r="I381" s="34" t="s">
        <v>815</v>
      </c>
      <c r="J381" s="22" t="n">
        <v>5</v>
      </c>
      <c r="K381" s="29"/>
      <c r="L381" s="23" t="str">
        <f aca="false" t="array" ref="L381:L381">_xlfn.TEXTJOIN(", ",TRUE(),TEXT(H381+_xlfn.SEQUENCE(HOUR(I381-H381),1,0,1)/24,"hh:mm:ss") &amp; "-" &amp; TEXT(H381+_xlfn.SEQUENCE(HOUR(I381-H381),1,1,1)/24,"hh:mm:ss"))</f>
        <v>18:00:00-19:00:00, 19:00:00-20:00:00</v>
      </c>
      <c r="M381" s="1" t="str">
        <f aca="false">IF(F381="","Não alocada","Alocada")</f>
        <v>Não alocada</v>
      </c>
      <c r="N381" s="17" t="s">
        <v>23</v>
      </c>
      <c r="O381" s="17" t="s">
        <v>24</v>
      </c>
    </row>
    <row r="382" customFormat="false" ht="15" hidden="false" customHeight="false" outlineLevel="0" collapsed="false">
      <c r="A382" s="18" t="s">
        <v>92</v>
      </c>
      <c r="B382" s="32" t="s">
        <v>816</v>
      </c>
      <c r="C382" s="32" t="s">
        <v>817</v>
      </c>
      <c r="D382" s="19" t="s">
        <v>27</v>
      </c>
      <c r="E382" s="32" t="s">
        <v>152</v>
      </c>
      <c r="G382" s="34" t="s">
        <v>56</v>
      </c>
      <c r="H382" s="34" t="s">
        <v>153</v>
      </c>
      <c r="I382" s="34" t="s">
        <v>154</v>
      </c>
      <c r="J382" s="22" t="n">
        <v>14</v>
      </c>
      <c r="K382" s="29"/>
      <c r="L382" s="23" t="str">
        <f aca="false" t="array" ref="L382:L382">_xlfn.TEXTJOIN(", ",TRUE(),TEXT(H382+_xlfn.SEQUENCE(HOUR(I382-H382),1,0,1)/24,"hh:mm:ss") &amp; "-" &amp; TEXT(H382+_xlfn.SEQUENCE(HOUR(I382-H382),1,1,1)/24,"hh:mm:ss"))</f>
        <v>08:00:00-09:00:00, 09:00:00-10:00:00</v>
      </c>
      <c r="M382" s="1" t="str">
        <f aca="false">IF(F382="","Não alocada","Alocada")</f>
        <v>Não alocada</v>
      </c>
      <c r="N382" s="17" t="s">
        <v>23</v>
      </c>
      <c r="O382" s="17" t="s">
        <v>24</v>
      </c>
    </row>
    <row r="383" customFormat="false" ht="15" hidden="false" customHeight="false" outlineLevel="0" collapsed="false">
      <c r="A383" s="18" t="s">
        <v>92</v>
      </c>
      <c r="B383" s="32" t="s">
        <v>816</v>
      </c>
      <c r="C383" s="32" t="s">
        <v>817</v>
      </c>
      <c r="D383" s="19" t="s">
        <v>27</v>
      </c>
      <c r="E383" s="32" t="s">
        <v>152</v>
      </c>
      <c r="G383" s="34" t="s">
        <v>56</v>
      </c>
      <c r="H383" s="34" t="s">
        <v>153</v>
      </c>
      <c r="I383" s="34" t="s">
        <v>154</v>
      </c>
      <c r="J383" s="22" t="n">
        <v>14</v>
      </c>
      <c r="K383" s="29"/>
      <c r="L383" s="23" t="str">
        <f aca="false" t="array" ref="L383:L383">_xlfn.TEXTJOIN(", ",TRUE(),TEXT(H383+_xlfn.SEQUENCE(HOUR(I383-H383),1,0,1)/24,"hh:mm:ss") &amp; "-" &amp; TEXT(H383+_xlfn.SEQUENCE(HOUR(I383-H383),1,1,1)/24,"hh:mm:ss"))</f>
        <v>08:00:00-09:00:00, 09:00:00-10:00:00</v>
      </c>
      <c r="M383" s="1" t="str">
        <f aca="false">IF(F383="","Não alocada","Alocada")</f>
        <v>Não alocada</v>
      </c>
      <c r="N383" s="17" t="s">
        <v>23</v>
      </c>
      <c r="O383" s="17" t="s">
        <v>24</v>
      </c>
    </row>
    <row r="384" customFormat="false" ht="15" hidden="false" customHeight="false" outlineLevel="0" collapsed="false">
      <c r="A384" s="18" t="s">
        <v>92</v>
      </c>
      <c r="B384" s="32" t="s">
        <v>816</v>
      </c>
      <c r="C384" s="32" t="s">
        <v>817</v>
      </c>
      <c r="D384" s="19" t="s">
        <v>60</v>
      </c>
      <c r="E384" s="32" t="s">
        <v>152</v>
      </c>
      <c r="G384" s="34" t="s">
        <v>56</v>
      </c>
      <c r="H384" s="34" t="s">
        <v>154</v>
      </c>
      <c r="I384" s="34" t="s">
        <v>156</v>
      </c>
      <c r="J384" s="22" t="n">
        <v>14</v>
      </c>
      <c r="K384" s="29"/>
      <c r="L384" s="23" t="str">
        <f aca="false" t="array" ref="L384:L384">_xlfn.TEXTJOIN(", ",TRUE(),TEXT(H384+_xlfn.SEQUENCE(HOUR(I384-H384),1,0,1)/24,"hh:mm:ss") &amp; "-" &amp; TEXT(H384+_xlfn.SEQUENCE(HOUR(I384-H384),1,1,1)/24,"hh:mm:ss"))</f>
        <v>10:00:00-11:00:00, 11:00:00-12:00:00</v>
      </c>
      <c r="M384" s="1" t="str">
        <f aca="false">IF(F384="","Não alocada","Alocada")</f>
        <v>Não alocada</v>
      </c>
      <c r="N384" s="17" t="s">
        <v>23</v>
      </c>
      <c r="O384" s="17" t="s">
        <v>24</v>
      </c>
    </row>
    <row r="385" customFormat="false" ht="15" hidden="false" customHeight="false" outlineLevel="0" collapsed="false">
      <c r="A385" s="18" t="s">
        <v>92</v>
      </c>
      <c r="B385" s="32" t="s">
        <v>816</v>
      </c>
      <c r="C385" s="32" t="s">
        <v>817</v>
      </c>
      <c r="D385" s="19" t="s">
        <v>730</v>
      </c>
      <c r="E385" s="32" t="s">
        <v>818</v>
      </c>
      <c r="G385" s="34" t="s">
        <v>56</v>
      </c>
      <c r="H385" s="34" t="s">
        <v>154</v>
      </c>
      <c r="I385" s="34" t="s">
        <v>156</v>
      </c>
      <c r="J385" s="22" t="n">
        <v>14</v>
      </c>
      <c r="K385" s="29"/>
      <c r="L385" s="23" t="str">
        <f aca="false" t="array" ref="L385:L385">_xlfn.TEXTJOIN(", ",TRUE(),TEXT(H385+_xlfn.SEQUENCE(HOUR(I385-H385),1,0,1)/24,"hh:mm:ss") &amp; "-" &amp; TEXT(H385+_xlfn.SEQUENCE(HOUR(I385-H385),1,1,1)/24,"hh:mm:ss"))</f>
        <v>10:00:00-11:00:00, 11:00:00-12:00:00</v>
      </c>
      <c r="M385" s="1" t="str">
        <f aca="false">IF(F385="","Não alocada","Alocada")</f>
        <v>Não alocada</v>
      </c>
      <c r="N385" s="17" t="s">
        <v>23</v>
      </c>
      <c r="O385" s="17" t="s">
        <v>24</v>
      </c>
    </row>
    <row r="386" customFormat="false" ht="15" hidden="false" customHeight="false" outlineLevel="0" collapsed="false">
      <c r="A386" s="18" t="s">
        <v>92</v>
      </c>
      <c r="B386" s="32" t="s">
        <v>819</v>
      </c>
      <c r="C386" s="32" t="s">
        <v>820</v>
      </c>
      <c r="D386" s="19" t="s">
        <v>27</v>
      </c>
      <c r="E386" s="32" t="s">
        <v>152</v>
      </c>
      <c r="G386" s="20" t="s">
        <v>257</v>
      </c>
      <c r="H386" s="34" t="s">
        <v>156</v>
      </c>
      <c r="I386" s="34" t="s">
        <v>98</v>
      </c>
      <c r="J386" s="22" t="n">
        <v>1</v>
      </c>
      <c r="K386" s="29"/>
      <c r="L386" s="23" t="str">
        <f aca="false" t="array" ref="L386:L386">_xlfn.TEXTJOIN(", ",TRUE(),TEXT(H386+_xlfn.SEQUENCE(HOUR(I386-H386),1,0,1)/24,"hh:mm:ss") &amp; "-" &amp; TEXT(H386+_xlfn.SEQUENCE(HOUR(I386-H386),1,1,1)/24,"hh:mm:ss"))</f>
        <v>12:00:00-13:00:00, 13:00:00-14:00:00</v>
      </c>
      <c r="M386" s="1" t="str">
        <f aca="false">IF(F386="","Não alocada","Alocada")</f>
        <v>Não alocada</v>
      </c>
      <c r="N386" s="17" t="s">
        <v>23</v>
      </c>
      <c r="O386" s="17" t="s">
        <v>24</v>
      </c>
    </row>
    <row r="387" customFormat="false" ht="15" hidden="false" customHeight="false" outlineLevel="0" collapsed="false">
      <c r="A387" s="18" t="s">
        <v>92</v>
      </c>
      <c r="B387" s="32" t="s">
        <v>821</v>
      </c>
      <c r="C387" s="32" t="s">
        <v>822</v>
      </c>
      <c r="D387" s="19" t="s">
        <v>511</v>
      </c>
      <c r="E387" s="32" t="s">
        <v>823</v>
      </c>
      <c r="G387" s="20" t="s">
        <v>257</v>
      </c>
      <c r="H387" s="34" t="s">
        <v>98</v>
      </c>
      <c r="I387" s="34" t="s">
        <v>95</v>
      </c>
      <c r="J387" s="22" t="n">
        <v>12</v>
      </c>
      <c r="K387" s="29"/>
      <c r="L387" s="23" t="str">
        <f aca="false" t="array" ref="L387:L387">_xlfn.TEXTJOIN(", ",TRUE(),TEXT(H387+_xlfn.SEQUENCE(HOUR(I387-H387),1,0,1)/24,"hh:mm:ss") &amp; "-" &amp; TEXT(H387+_xlfn.SEQUENCE(HOUR(I387-H387),1,1,1)/24,"hh:mm:ss"))</f>
        <v>14:00:00-15:00:00, 15:00:00-16:00:00</v>
      </c>
      <c r="M387" s="1" t="str">
        <f aca="false">IF(F387="","Não alocada","Alocada")</f>
        <v>Não alocada</v>
      </c>
      <c r="N387" s="17" t="s">
        <v>23</v>
      </c>
      <c r="O387" s="17" t="s">
        <v>24</v>
      </c>
    </row>
    <row r="388" customFormat="false" ht="15" hidden="false" customHeight="false" outlineLevel="0" collapsed="false">
      <c r="A388" s="18" t="s">
        <v>92</v>
      </c>
      <c r="B388" s="26" t="s">
        <v>809</v>
      </c>
      <c r="C388" s="26" t="s">
        <v>810</v>
      </c>
      <c r="D388" s="19" t="s">
        <v>27</v>
      </c>
      <c r="E388" s="26" t="s">
        <v>811</v>
      </c>
      <c r="G388" s="20" t="s">
        <v>257</v>
      </c>
      <c r="H388" s="50" t="n">
        <v>0.583333333333333</v>
      </c>
      <c r="I388" s="50" t="n">
        <v>0.666666666666667</v>
      </c>
      <c r="J388" s="22" t="n">
        <v>2</v>
      </c>
      <c r="K388" s="29"/>
      <c r="L388" s="23" t="str">
        <f aca="false" t="array" ref="L388:L388">_xlfn.TEXTJOIN(", ",TRUE(),TEXT(H388+_xlfn.SEQUENCE(HOUR(I388-H388),1,0,1)/24,"hh:mm:ss") &amp; "-" &amp; TEXT(H388+_xlfn.SEQUENCE(HOUR(I388-H388),1,1,1)/24,"hh:mm:ss"))</f>
        <v>14:00:00-15:00:00, 15:00:00-16:00:00</v>
      </c>
      <c r="M388" s="1" t="str">
        <f aca="false">IF(F388="","Não alocada","Alocada")</f>
        <v>Não alocada</v>
      </c>
      <c r="N388" s="17" t="s">
        <v>23</v>
      </c>
      <c r="O388" s="17" t="s">
        <v>24</v>
      </c>
    </row>
    <row r="389" customFormat="false" ht="15" hidden="false" customHeight="false" outlineLevel="0" collapsed="false">
      <c r="A389" s="18" t="s">
        <v>92</v>
      </c>
      <c r="B389" s="32" t="s">
        <v>809</v>
      </c>
      <c r="C389" s="32" t="s">
        <v>810</v>
      </c>
      <c r="D389" s="19" t="s">
        <v>60</v>
      </c>
      <c r="E389" s="32" t="s">
        <v>824</v>
      </c>
      <c r="G389" s="20" t="s">
        <v>22</v>
      </c>
      <c r="H389" s="34" t="s">
        <v>153</v>
      </c>
      <c r="I389" s="34" t="s">
        <v>154</v>
      </c>
      <c r="J389" s="22" t="n">
        <v>2</v>
      </c>
      <c r="K389" s="29"/>
      <c r="L389" s="23" t="str">
        <f aca="false" t="array" ref="L389:L389">_xlfn.TEXTJOIN(", ",TRUE(),TEXT(H389+_xlfn.SEQUENCE(HOUR(I389-H389),1,0,1)/24,"hh:mm:ss") &amp; "-" &amp; TEXT(H389+_xlfn.SEQUENCE(HOUR(I389-H389),1,1,1)/24,"hh:mm:ss"))</f>
        <v>08:00:00-09:00:00, 09:00:00-10:00:00</v>
      </c>
      <c r="M389" s="1" t="str">
        <f aca="false">IF(F389="","Não alocada","Alocada")</f>
        <v>Não alocada</v>
      </c>
      <c r="N389" s="17" t="s">
        <v>23</v>
      </c>
      <c r="O389" s="17" t="s">
        <v>24</v>
      </c>
    </row>
    <row r="390" customFormat="false" ht="15" hidden="false" customHeight="false" outlineLevel="0" collapsed="false">
      <c r="A390" s="18" t="s">
        <v>92</v>
      </c>
      <c r="B390" s="32" t="s">
        <v>819</v>
      </c>
      <c r="C390" s="32" t="s">
        <v>820</v>
      </c>
      <c r="D390" s="19" t="s">
        <v>60</v>
      </c>
      <c r="E390" s="32" t="s">
        <v>825</v>
      </c>
      <c r="G390" s="20" t="s">
        <v>22</v>
      </c>
      <c r="H390" s="34" t="s">
        <v>154</v>
      </c>
      <c r="I390" s="34" t="s">
        <v>156</v>
      </c>
      <c r="J390" s="22" t="n">
        <v>1</v>
      </c>
      <c r="K390" s="29"/>
      <c r="L390" s="23" t="str">
        <f aca="false" t="array" ref="L390:L390">_xlfn.TEXTJOIN(", ",TRUE(),TEXT(H390+_xlfn.SEQUENCE(HOUR(I390-H390),1,0,1)/24,"hh:mm:ss") &amp; "-" &amp; TEXT(H390+_xlfn.SEQUENCE(HOUR(I390-H390),1,1,1)/24,"hh:mm:ss"))</f>
        <v>10:00:00-11:00:00, 11:00:00-12:00:00</v>
      </c>
      <c r="M390" s="1" t="str">
        <f aca="false">IF(F390="","Não alocada","Alocada")</f>
        <v>Não alocada</v>
      </c>
      <c r="N390" s="17" t="s">
        <v>23</v>
      </c>
      <c r="O390" s="17" t="s">
        <v>24</v>
      </c>
    </row>
    <row r="391" customFormat="false" ht="15" hidden="false" customHeight="false" outlineLevel="0" collapsed="false">
      <c r="A391" s="18" t="s">
        <v>92</v>
      </c>
      <c r="B391" s="32" t="s">
        <v>813</v>
      </c>
      <c r="C391" s="32" t="s">
        <v>814</v>
      </c>
      <c r="D391" s="19" t="s">
        <v>32</v>
      </c>
      <c r="E391" s="32" t="s">
        <v>825</v>
      </c>
      <c r="G391" s="20" t="s">
        <v>22</v>
      </c>
      <c r="H391" s="34" t="s">
        <v>98</v>
      </c>
      <c r="I391" s="34" t="s">
        <v>95</v>
      </c>
      <c r="J391" s="22" t="n">
        <v>5</v>
      </c>
      <c r="K391" s="29"/>
      <c r="L391" s="23" t="str">
        <f aca="false" t="array" ref="L391:L391">_xlfn.TEXTJOIN(", ",TRUE(),TEXT(H391+_xlfn.SEQUENCE(HOUR(I391-H391),1,0,1)/24,"hh:mm:ss") &amp; "-" &amp; TEXT(H391+_xlfn.SEQUENCE(HOUR(I391-H391),1,1,1)/24,"hh:mm:ss"))</f>
        <v>14:00:00-15:00:00, 15:00:00-16:00:00</v>
      </c>
      <c r="M391" s="1" t="str">
        <f aca="false">IF(F391="","Não alocada","Alocada")</f>
        <v>Não alocada</v>
      </c>
      <c r="N391" s="17" t="s">
        <v>23</v>
      </c>
      <c r="O391" s="17" t="s">
        <v>24</v>
      </c>
    </row>
    <row r="392" customFormat="false" ht="15" hidden="false" customHeight="false" outlineLevel="0" collapsed="false">
      <c r="A392" s="18" t="s">
        <v>92</v>
      </c>
      <c r="B392" s="26" t="s">
        <v>809</v>
      </c>
      <c r="C392" s="26" t="s">
        <v>810</v>
      </c>
      <c r="D392" s="19" t="s">
        <v>60</v>
      </c>
      <c r="E392" s="26" t="s">
        <v>825</v>
      </c>
      <c r="G392" s="20" t="s">
        <v>22</v>
      </c>
      <c r="H392" s="27" t="n">
        <v>0.666666666666667</v>
      </c>
      <c r="I392" s="27" t="n">
        <v>0.75</v>
      </c>
      <c r="J392" s="22" t="n">
        <v>2</v>
      </c>
      <c r="K392" s="29"/>
      <c r="L392" s="23" t="str">
        <f aca="false" t="array" ref="L392:L392">_xlfn.TEXTJOIN(", ",TRUE(),TEXT(H392+_xlfn.SEQUENCE(HOUR(I392-H392),1,0,1)/24,"hh:mm:ss") &amp; "-" &amp; TEXT(H392+_xlfn.SEQUENCE(HOUR(I392-H392),1,1,1)/24,"hh:mm:ss"))</f>
        <v>16:00:00-17:00:00, 17:00:00-18:00:00</v>
      </c>
      <c r="M392" s="1" t="str">
        <f aca="false">IF(F392="","Não alocada","Alocada")</f>
        <v>Não alocada</v>
      </c>
      <c r="N392" s="17" t="s">
        <v>23</v>
      </c>
      <c r="O392" s="17" t="s">
        <v>24</v>
      </c>
    </row>
    <row r="393" customFormat="false" ht="15" hidden="false" customHeight="false" outlineLevel="0" collapsed="false">
      <c r="A393" s="18" t="s">
        <v>92</v>
      </c>
      <c r="B393" s="32" t="s">
        <v>826</v>
      </c>
      <c r="C393" s="32" t="s">
        <v>827</v>
      </c>
      <c r="D393" s="19" t="s">
        <v>19</v>
      </c>
      <c r="E393" s="32" t="s">
        <v>828</v>
      </c>
      <c r="G393" s="20" t="s">
        <v>22</v>
      </c>
      <c r="H393" s="33" t="n">
        <v>0.416666666666667</v>
      </c>
      <c r="I393" s="33" t="n">
        <v>0.5</v>
      </c>
      <c r="J393" s="22" t="n">
        <v>1</v>
      </c>
      <c r="K393" s="29"/>
      <c r="L393" s="23" t="str">
        <f aca="false" t="array" ref="L393:L393">_xlfn.TEXTJOIN(", ",TRUE(),TEXT(H393+_xlfn.SEQUENCE(HOUR(I393-H393),1,0,1)/24,"hh:mm:ss") &amp; "-" &amp; TEXT(H393+_xlfn.SEQUENCE(HOUR(I393-H393),1,1,1)/24,"hh:mm:ss"))</f>
        <v>10:00:00-11:00:00, 11:00:00-12:00:00</v>
      </c>
      <c r="M393" s="1" t="str">
        <f aca="false">IF(F393="","Não alocada","Alocada")</f>
        <v>Não alocada</v>
      </c>
      <c r="N393" s="17" t="s">
        <v>23</v>
      </c>
      <c r="O393" s="17" t="s">
        <v>24</v>
      </c>
    </row>
    <row r="394" customFormat="false" ht="15" hidden="false" customHeight="false" outlineLevel="0" collapsed="false">
      <c r="A394" s="18" t="s">
        <v>92</v>
      </c>
      <c r="B394" s="32" t="s">
        <v>813</v>
      </c>
      <c r="C394" s="32" t="s">
        <v>814</v>
      </c>
      <c r="D394" s="19" t="s">
        <v>60</v>
      </c>
      <c r="E394" s="32" t="s">
        <v>829</v>
      </c>
      <c r="G394" s="20" t="s">
        <v>66</v>
      </c>
      <c r="H394" s="34" t="s">
        <v>98</v>
      </c>
      <c r="I394" s="34" t="s">
        <v>95</v>
      </c>
      <c r="J394" s="22" t="n">
        <v>5</v>
      </c>
      <c r="K394" s="29"/>
      <c r="L394" s="23" t="str">
        <f aca="false" t="array" ref="L394:L394">_xlfn.TEXTJOIN(", ",TRUE(),TEXT(H394+_xlfn.SEQUENCE(HOUR(I394-H394),1,0,1)/24,"hh:mm:ss") &amp; "-" &amp; TEXT(H394+_xlfn.SEQUENCE(HOUR(I394-H394),1,1,1)/24,"hh:mm:ss"))</f>
        <v>14:00:00-15:00:00, 15:00:00-16:00:00</v>
      </c>
      <c r="M394" s="1" t="str">
        <f aca="false">IF(F394="","Não alocada","Alocada")</f>
        <v>Não alocada</v>
      </c>
      <c r="N394" s="17" t="s">
        <v>23</v>
      </c>
      <c r="O394" s="17" t="s">
        <v>24</v>
      </c>
    </row>
    <row r="395" customFormat="false" ht="15" hidden="false" customHeight="false" outlineLevel="0" collapsed="false">
      <c r="A395" s="18" t="s">
        <v>92</v>
      </c>
      <c r="B395" s="32" t="s">
        <v>830</v>
      </c>
      <c r="C395" s="32" t="s">
        <v>831</v>
      </c>
      <c r="D395" s="19" t="s">
        <v>27</v>
      </c>
      <c r="E395" s="32" t="s">
        <v>832</v>
      </c>
      <c r="G395" s="20" t="s">
        <v>66</v>
      </c>
      <c r="H395" s="34" t="s">
        <v>153</v>
      </c>
      <c r="I395" s="34" t="s">
        <v>154</v>
      </c>
      <c r="J395" s="22" t="n">
        <v>0</v>
      </c>
      <c r="K395" s="29"/>
      <c r="L395" s="23" t="str">
        <f aca="false" t="array" ref="L395:L395">_xlfn.TEXTJOIN(", ",TRUE(),TEXT(H395+_xlfn.SEQUENCE(HOUR(I395-H395),1,0,1)/24,"hh:mm:ss") &amp; "-" &amp; TEXT(H395+_xlfn.SEQUENCE(HOUR(I395-H395),1,1,1)/24,"hh:mm:ss"))</f>
        <v>08:00:00-09:00:00, 09:00:00-10:00:00</v>
      </c>
      <c r="M395" s="1" t="str">
        <f aca="false">IF(F395="","Não alocada","Alocada")</f>
        <v>Não alocada</v>
      </c>
      <c r="N395" s="17" t="s">
        <v>23</v>
      </c>
      <c r="O395" s="17" t="s">
        <v>24</v>
      </c>
    </row>
    <row r="396" customFormat="false" ht="15" hidden="false" customHeight="false" outlineLevel="0" collapsed="false">
      <c r="A396" s="18" t="s">
        <v>92</v>
      </c>
      <c r="B396" s="26" t="s">
        <v>809</v>
      </c>
      <c r="C396" s="26" t="s">
        <v>810</v>
      </c>
      <c r="D396" s="19" t="s">
        <v>41</v>
      </c>
      <c r="E396" s="26" t="s">
        <v>829</v>
      </c>
      <c r="G396" s="20" t="s">
        <v>66</v>
      </c>
      <c r="H396" s="50" t="n">
        <v>0.416666666666667</v>
      </c>
      <c r="I396" s="50" t="n">
        <v>0.5</v>
      </c>
      <c r="J396" s="22" t="n">
        <v>2</v>
      </c>
      <c r="K396" s="29"/>
      <c r="L396" s="23" t="str">
        <f aca="false" t="array" ref="L396:L396">_xlfn.TEXTJOIN(", ",TRUE(),TEXT(H396+_xlfn.SEQUENCE(HOUR(I396-H396),1,0,1)/24,"hh:mm:ss") &amp; "-" &amp; TEXT(H396+_xlfn.SEQUENCE(HOUR(I396-H396),1,1,1)/24,"hh:mm:ss"))</f>
        <v>10:00:00-11:00:00, 11:00:00-12:00:00</v>
      </c>
      <c r="M396" s="1" t="str">
        <f aca="false">IF(F396="","Não alocada","Alocada")</f>
        <v>Não alocada</v>
      </c>
      <c r="N396" s="17" t="s">
        <v>23</v>
      </c>
      <c r="O396" s="17" t="s">
        <v>24</v>
      </c>
    </row>
    <row r="397" customFormat="false" ht="15" hidden="false" customHeight="false" outlineLevel="0" collapsed="false">
      <c r="A397" s="18" t="s">
        <v>92</v>
      </c>
      <c r="B397" s="32" t="s">
        <v>813</v>
      </c>
      <c r="C397" s="32" t="s">
        <v>814</v>
      </c>
      <c r="D397" s="19" t="s">
        <v>57</v>
      </c>
      <c r="E397" s="32" t="s">
        <v>832</v>
      </c>
      <c r="G397" s="20" t="s">
        <v>45</v>
      </c>
      <c r="H397" s="33" t="n">
        <v>0.5</v>
      </c>
      <c r="I397" s="33" t="n">
        <v>0.583333333333333</v>
      </c>
      <c r="J397" s="22" t="n">
        <v>5</v>
      </c>
      <c r="K397" s="29"/>
      <c r="L397" s="23" t="str">
        <f aca="false" t="array" ref="L397:L397">_xlfn.TEXTJOIN(", ",TRUE(),TEXT(H397+_xlfn.SEQUENCE(HOUR(I397-H397),1,0,1)/24,"hh:mm:ss") &amp; "-" &amp; TEXT(H397+_xlfn.SEQUENCE(HOUR(I397-H397),1,1,1)/24,"hh:mm:ss"))</f>
        <v>12:00:00-13:00:00, 13:00:00-14:00:00</v>
      </c>
      <c r="M397" s="1" t="str">
        <f aca="false">IF(F397="","Não alocada","Alocada")</f>
        <v>Não alocada</v>
      </c>
      <c r="N397" s="17" t="s">
        <v>23</v>
      </c>
      <c r="O397" s="17" t="s">
        <v>24</v>
      </c>
    </row>
    <row r="398" customFormat="false" ht="15" hidden="false" customHeight="false" outlineLevel="0" collapsed="false">
      <c r="A398" s="18" t="s">
        <v>92</v>
      </c>
      <c r="B398" s="32" t="s">
        <v>821</v>
      </c>
      <c r="C398" s="32" t="s">
        <v>822</v>
      </c>
      <c r="D398" s="19" t="s">
        <v>833</v>
      </c>
      <c r="E398" s="32" t="s">
        <v>823</v>
      </c>
      <c r="G398" s="20" t="s">
        <v>45</v>
      </c>
      <c r="H398" s="34" t="s">
        <v>98</v>
      </c>
      <c r="I398" s="34" t="s">
        <v>95</v>
      </c>
      <c r="J398" s="22" t="n">
        <v>12</v>
      </c>
      <c r="K398" s="29"/>
      <c r="L398" s="23" t="str">
        <f aca="false" t="array" ref="L398:L398">_xlfn.TEXTJOIN(", ",TRUE(),TEXT(H398+_xlfn.SEQUENCE(HOUR(I398-H398),1,0,1)/24,"hh:mm:ss") &amp; "-" &amp; TEXT(H398+_xlfn.SEQUENCE(HOUR(I398-H398),1,1,1)/24,"hh:mm:ss"))</f>
        <v>14:00:00-15:00:00, 15:00:00-16:00:00</v>
      </c>
      <c r="M398" s="1" t="str">
        <f aca="false">IF(F398="","Não alocada","Alocada")</f>
        <v>Não alocada</v>
      </c>
      <c r="N398" s="17" t="s">
        <v>23</v>
      </c>
      <c r="O398" s="17" t="s">
        <v>24</v>
      </c>
    </row>
    <row r="399" customFormat="false" ht="15" hidden="false" customHeight="false" outlineLevel="0" collapsed="false">
      <c r="A399" s="18" t="s">
        <v>92</v>
      </c>
      <c r="B399" s="32" t="s">
        <v>830</v>
      </c>
      <c r="C399" s="32" t="s">
        <v>831</v>
      </c>
      <c r="D399" s="19" t="s">
        <v>60</v>
      </c>
      <c r="E399" s="32" t="s">
        <v>832</v>
      </c>
      <c r="G399" s="20" t="s">
        <v>45</v>
      </c>
      <c r="H399" s="34" t="s">
        <v>95</v>
      </c>
      <c r="I399" s="34" t="s">
        <v>96</v>
      </c>
      <c r="J399" s="22" t="n">
        <v>0</v>
      </c>
      <c r="K399" s="29"/>
      <c r="L399" s="23" t="str">
        <f aca="false" t="array" ref="L399:L399">_xlfn.TEXTJOIN(", ",TRUE(),TEXT(H399+_xlfn.SEQUENCE(HOUR(I399-H399),1,0,1)/24,"hh:mm:ss") &amp; "-" &amp; TEXT(H399+_xlfn.SEQUENCE(HOUR(I399-H399),1,1,1)/24,"hh:mm:ss"))</f>
        <v>16:00:00-17:00:00, 17:00:00-18:00:00</v>
      </c>
      <c r="M399" s="1" t="str">
        <f aca="false">IF(F399="","Não alocada","Alocada")</f>
        <v>Não alocada</v>
      </c>
      <c r="N399" s="17" t="s">
        <v>23</v>
      </c>
      <c r="O399" s="17" t="s">
        <v>24</v>
      </c>
    </row>
    <row r="400" customFormat="false" ht="15.75" hidden="false" customHeight="true" outlineLevel="0" collapsed="false">
      <c r="A400" s="51" t="s">
        <v>92</v>
      </c>
      <c r="B400" s="52" t="s">
        <v>809</v>
      </c>
      <c r="C400" s="52" t="s">
        <v>810</v>
      </c>
      <c r="D400" s="53" t="s">
        <v>32</v>
      </c>
      <c r="E400" s="52" t="s">
        <v>832</v>
      </c>
      <c r="G400" s="54" t="s">
        <v>45</v>
      </c>
      <c r="H400" s="55" t="n">
        <v>0.583333333333333</v>
      </c>
      <c r="I400" s="55" t="n">
        <v>0.666666666666667</v>
      </c>
      <c r="J400" s="56" t="n">
        <v>2</v>
      </c>
      <c r="K400" s="57"/>
      <c r="L400" s="58" t="str">
        <f aca="false" t="array" ref="L400:L400">_xlfn.TEXTJOIN(", ",TRUE(),TEXT(H400+_xlfn.SEQUENCE(HOUR(I400-H400),1,0,1)/24,"hh:mm:ss") &amp; "-" &amp; TEXT(H400+_xlfn.SEQUENCE(HOUR(I400-H400),1,1,1)/24,"hh:mm:ss"))</f>
        <v>14:00:00-15:00:00, 15:00:00-16:00:00</v>
      </c>
      <c r="M400" s="1" t="str">
        <f aca="false">IF(F400="","Não alocada","Alocada")</f>
        <v>Não alocada</v>
      </c>
      <c r="N400" s="17" t="s">
        <v>23</v>
      </c>
      <c r="O400" s="17" t="s">
        <v>24</v>
      </c>
    </row>
  </sheetData>
  <autoFilter ref="A1:L400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2025-09-02T19:22:15Z</dcterms:created>
  <dc:creator>Hermany Vieira</dc:creator>
  <dc:description/>
  <dc:language>pt-BR</dc:language>
  <cp:lastModifiedBy/>
  <dcterms:modified xsi:type="dcterms:W3CDTF">2026-07-02T14:29:48Z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